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bcfb263e067e3a36/Desktop/Additional/download from Youtube/"/>
    </mc:Choice>
  </mc:AlternateContent>
  <xr:revisionPtr revIDLastSave="7" documentId="8_{CB4FD0CC-D608-4CD1-B7CA-272F98BE0C93}" xr6:coauthVersionLast="47" xr6:coauthVersionMax="47" xr10:uidLastSave="{061CB2A5-E796-4AEC-89C6-3E98FA55DEC0}"/>
  <bookViews>
    <workbookView xWindow="-108" yWindow="-108" windowWidth="23256" windowHeight="12456" activeTab="3" xr2:uid="{A3554082-D511-43C7-8995-99AB785354E4}"/>
  </bookViews>
  <sheets>
    <sheet name="Raw_Data" sheetId="1" r:id="rId1"/>
    <sheet name="pivot_table " sheetId="3" r:id="rId2"/>
    <sheet name="Convert onto table" sheetId="2" r:id="rId3"/>
    <sheet name="Dashboard" sheetId="4" r:id="rId4"/>
  </sheets>
  <definedNames>
    <definedName name="Slicer_Product">#N/A</definedName>
    <definedName name="Slicer_Region">#N/A</definedName>
    <definedName name="Slicer_Sales_Pers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 i="2" l="1"/>
  <c r="M12" i="2"/>
  <c r="M10" i="2"/>
  <c r="M8"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3" i="2"/>
  <c r="I4" i="2"/>
  <c r="I2" i="2"/>
</calcChain>
</file>

<file path=xl/sharedStrings.xml><?xml version="1.0" encoding="utf-8"?>
<sst xmlns="http://schemas.openxmlformats.org/spreadsheetml/2006/main" count="565" uniqueCount="122">
  <si>
    <t>Date</t>
  </si>
  <si>
    <t>Sales Person</t>
  </si>
  <si>
    <t>Region</t>
  </si>
  <si>
    <t>Product</t>
  </si>
  <si>
    <t>Units Sold</t>
  </si>
  <si>
    <t>Unit Price</t>
  </si>
  <si>
    <t>Cost of Goods</t>
  </si>
  <si>
    <t>Total Sales</t>
  </si>
  <si>
    <t>2/19/2021</t>
  </si>
  <si>
    <t>Andrew</t>
  </si>
  <si>
    <t>West</t>
  </si>
  <si>
    <t>Tent</t>
  </si>
  <si>
    <t>Rs. 6,000</t>
  </si>
  <si>
    <t>Rs. 4,000</t>
  </si>
  <si>
    <t>Rs. 504,000</t>
  </si>
  <si>
    <t>Grace</t>
  </si>
  <si>
    <t>East</t>
  </si>
  <si>
    <t>Blender</t>
  </si>
  <si>
    <t>Rs. 3,500</t>
  </si>
  <si>
    <t>Rs. 2,500</t>
  </si>
  <si>
    <t>Rs. 448,000</t>
  </si>
  <si>
    <t>Ella</t>
  </si>
  <si>
    <t>South</t>
  </si>
  <si>
    <t>Action Figure</t>
  </si>
  <si>
    <t>Rs. 1,200</t>
  </si>
  <si>
    <t>Rs. 800</t>
  </si>
  <si>
    <t>Rs. 163,200</t>
  </si>
  <si>
    <t>Cameron</t>
  </si>
  <si>
    <t>North</t>
  </si>
  <si>
    <t>Novel</t>
  </si>
  <si>
    <t>Rs. 1,000</t>
  </si>
  <si>
    <t>Rs. 700</t>
  </si>
  <si>
    <t>Rs. 91,000</t>
  </si>
  <si>
    <t>9/23/2021</t>
  </si>
  <si>
    <t>Megan</t>
  </si>
  <si>
    <t>Sneakers</t>
  </si>
  <si>
    <t>Rs. 3,000</t>
  </si>
  <si>
    <t>Rs. 440,000</t>
  </si>
  <si>
    <t>Carolyn</t>
  </si>
  <si>
    <t>Rs. 61,200</t>
  </si>
  <si>
    <t>Virginia</t>
  </si>
  <si>
    <t>Rs. 78,000</t>
  </si>
  <si>
    <t>Connor</t>
  </si>
  <si>
    <t>Rs. 876,000</t>
  </si>
  <si>
    <t>1/27/2021</t>
  </si>
  <si>
    <t>Anna</t>
  </si>
  <si>
    <t>Moisturizer</t>
  </si>
  <si>
    <t>Rs. 600</t>
  </si>
  <si>
    <t>Rs. 400</t>
  </si>
  <si>
    <t>Rs. 60,600</t>
  </si>
  <si>
    <t>Nicholas</t>
  </si>
  <si>
    <t>Rs. 312,000</t>
  </si>
  <si>
    <t>9/30/2021</t>
  </si>
  <si>
    <t>Rs. 66,000</t>
  </si>
  <si>
    <t>Rs. 137,000</t>
  </si>
  <si>
    <t>7/27/2021</t>
  </si>
  <si>
    <t>Rs. 336,000</t>
  </si>
  <si>
    <t>Rs. 208,000</t>
  </si>
  <si>
    <t>Rs. 266,000</t>
  </si>
  <si>
    <t>6/15/2021</t>
  </si>
  <si>
    <t>Rs. 580,000</t>
  </si>
  <si>
    <t>Rs. 49,800</t>
  </si>
  <si>
    <t>8/13/2021</t>
  </si>
  <si>
    <t>8/27/2020</t>
  </si>
  <si>
    <t>Smartphone</t>
  </si>
  <si>
    <t>Rs. 10,000</t>
  </si>
  <si>
    <t>Rs. 7,000</t>
  </si>
  <si>
    <t>Rs. 1,080,000</t>
  </si>
  <si>
    <t>Rs. 576,000</t>
  </si>
  <si>
    <t>Rs. 55,200</t>
  </si>
  <si>
    <t>12/21/2021</t>
  </si>
  <si>
    <t>Rs. 426,000</t>
  </si>
  <si>
    <t>Rs. 61,800</t>
  </si>
  <si>
    <t>Rs. 55,000</t>
  </si>
  <si>
    <t>8/30/2021</t>
  </si>
  <si>
    <t>Rs. 372,000</t>
  </si>
  <si>
    <t>5/20/2020</t>
  </si>
  <si>
    <t>Rs. 85,800</t>
  </si>
  <si>
    <t>9/13/2021</t>
  </si>
  <si>
    <t>Rs. 500,500</t>
  </si>
  <si>
    <t>10/27/2021</t>
  </si>
  <si>
    <t>Rs. 59,400</t>
  </si>
  <si>
    <t>12/22/2020</t>
  </si>
  <si>
    <t>Rs. 120,000</t>
  </si>
  <si>
    <t>7/28/2021</t>
  </si>
  <si>
    <t>Rs. 231,000</t>
  </si>
  <si>
    <t>9/29/2020</t>
  </si>
  <si>
    <t>Rs. 105,600</t>
  </si>
  <si>
    <t>10/22/2020</t>
  </si>
  <si>
    <t>Rs. 1,270,000</t>
  </si>
  <si>
    <t>5/19/2020</t>
  </si>
  <si>
    <t>Rs. 268,000</t>
  </si>
  <si>
    <t>Rs. 80,400</t>
  </si>
  <si>
    <t>8/26/2020</t>
  </si>
  <si>
    <t>Rs. 149,000</t>
  </si>
  <si>
    <t>Rs. 62,400</t>
  </si>
  <si>
    <t>Rs. 34,200</t>
  </si>
  <si>
    <t>Rs. 54,000</t>
  </si>
  <si>
    <t>Rs. 40,200</t>
  </si>
  <si>
    <t>Rs. 508,000</t>
  </si>
  <si>
    <t>4/13/2021</t>
  </si>
  <si>
    <t>Rs. 108,000</t>
  </si>
  <si>
    <t>1/15/2021</t>
  </si>
  <si>
    <t>Rs. 468,000</t>
  </si>
  <si>
    <t>Rs. 69,000</t>
  </si>
  <si>
    <t>Rs. 70,800</t>
  </si>
  <si>
    <t>11/17/2021</t>
  </si>
  <si>
    <t>Rs. 65,400</t>
  </si>
  <si>
    <t>12/28/2020</t>
  </si>
  <si>
    <t>Rs. 244,000</t>
  </si>
  <si>
    <t>Rs. 210,000</t>
  </si>
  <si>
    <t>Rs. 438,000</t>
  </si>
  <si>
    <t xml:space="preserve">Profit </t>
  </si>
  <si>
    <t>Grand Total</t>
  </si>
  <si>
    <t xml:space="preserve">Total Unit sold </t>
  </si>
  <si>
    <t xml:space="preserve">Total profit </t>
  </si>
  <si>
    <t xml:space="preserve">Average Sales </t>
  </si>
  <si>
    <t>Row Labels</t>
  </si>
  <si>
    <t>Sum of Total Sales</t>
  </si>
  <si>
    <t>Sum of Units Sold</t>
  </si>
  <si>
    <t>`</t>
  </si>
  <si>
    <t>ONVERT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</si>
</sst>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quot;L&quot;"/>
  </numFmts>
  <fonts count="3" x14ac:knownFonts="1">
    <font>
      <sz val="11"/>
      <color theme="1"/>
      <name val="Aptos Narrow"/>
      <family val="2"/>
      <scheme val="minor"/>
    </font>
    <font>
      <sz val="11"/>
      <color rgb="FFFFFFFF"/>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002060"/>
        <bgColor indexed="64"/>
      </patternFill>
    </fill>
    <fill>
      <patternFill patternType="solid">
        <fgColor rgb="FF227ACB"/>
        <bgColor indexed="64"/>
      </patternFill>
    </fill>
  </fills>
  <borders count="6">
    <border>
      <left/>
      <right/>
      <top/>
      <bottom/>
      <diagonal/>
    </border>
    <border>
      <left style="medium">
        <color rgb="FFCCCCCC"/>
      </left>
      <right style="medium">
        <color rgb="FFCCCCCC"/>
      </right>
      <top style="medium">
        <color rgb="FFCCCCCC"/>
      </top>
      <bottom style="thick">
        <color rgb="FFFFC000"/>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right style="medium">
        <color rgb="FFCCCCCC"/>
      </right>
      <top/>
      <bottom style="thick">
        <color rgb="FFFFC000"/>
      </bottom>
      <diagonal/>
    </border>
    <border>
      <left style="medium">
        <color rgb="FFCCCCCC"/>
      </left>
      <right style="medium">
        <color rgb="FFCCCCCC"/>
      </right>
      <top/>
      <bottom style="thick">
        <color rgb="FFFFC000"/>
      </bottom>
      <diagonal/>
    </border>
  </borders>
  <cellStyleXfs count="2">
    <xf numFmtId="0" fontId="0" fillId="0" borderId="0"/>
    <xf numFmtId="44" fontId="2" fillId="0" borderId="0" applyFont="0" applyFill="0" applyBorder="0" applyAlignment="0" applyProtection="0"/>
  </cellStyleXfs>
  <cellXfs count="19">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horizontal="center" wrapText="1"/>
    </xf>
    <xf numFmtId="0" fontId="0" fillId="0" borderId="2" xfId="0" applyBorder="1" applyAlignment="1">
      <alignment wrapText="1"/>
    </xf>
    <xf numFmtId="0" fontId="0" fillId="0" borderId="2" xfId="0" applyBorder="1" applyAlignment="1">
      <alignment horizontal="right" wrapText="1"/>
    </xf>
    <xf numFmtId="14" fontId="0" fillId="0" borderId="2" xfId="0" applyNumberFormat="1" applyBorder="1" applyAlignment="1">
      <alignment horizontal="center" wrapText="1"/>
    </xf>
    <xf numFmtId="0" fontId="0" fillId="0" borderId="0" xfId="0" applyAlignment="1">
      <alignment horizontal="right" wrapText="1"/>
    </xf>
    <xf numFmtId="3" fontId="0" fillId="0" borderId="2" xfId="0" applyNumberFormat="1" applyBorder="1" applyAlignment="1">
      <alignment horizontal="right" wrapText="1"/>
    </xf>
    <xf numFmtId="0" fontId="0" fillId="0" borderId="3" xfId="0" applyBorder="1" applyAlignment="1">
      <alignment horizontal="center" wrapText="1"/>
    </xf>
    <xf numFmtId="14" fontId="0" fillId="0" borderId="3" xfId="0" applyNumberFormat="1" applyBorder="1" applyAlignment="1">
      <alignment horizont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0" borderId="0" xfId="0" applyAlignment="1">
      <alignment horizontal="center"/>
    </xf>
    <xf numFmtId="3" fontId="0" fillId="0" borderId="0" xfId="0" applyNumberFormat="1" applyAlignment="1">
      <alignment horizontal="center"/>
    </xf>
    <xf numFmtId="0" fontId="0" fillId="3" borderId="0" xfId="0" applyFill="1" applyAlignment="1">
      <alignment horizontal="center"/>
    </xf>
    <xf numFmtId="0" fontId="0" fillId="0" borderId="0" xfId="0" pivotButton="1"/>
    <xf numFmtId="0" fontId="0" fillId="0" borderId="0" xfId="0" applyAlignment="1">
      <alignment horizontal="left"/>
    </xf>
    <xf numFmtId="164" fontId="0" fillId="0" borderId="0" xfId="0" applyNumberFormat="1"/>
    <xf numFmtId="44" fontId="0" fillId="0" borderId="0" xfId="1" applyFont="1"/>
  </cellXfs>
  <cellStyles count="2">
    <cellStyle name="Currency" xfId="1" builtinId="4"/>
    <cellStyle name="Normal" xfId="0" builtinId="0"/>
  </cellStyles>
  <dxfs count="13">
    <dxf>
      <alignment horizontal="right" vertical="bottom" textRotation="0" wrapText="1" indent="0" justifyLastLine="0" shrinkToFit="0" readingOrder="0"/>
    </dxf>
    <dxf>
      <numFmt numFmtId="3" formatCode="#,##0"/>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3" formatCode="#,##0"/>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3" formatCode="#,##0"/>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center"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left style="medium">
          <color rgb="FFCCCCCC"/>
        </left>
        <top style="medium">
          <color rgb="FFCCCCCC"/>
        </top>
      </border>
    </dxf>
    <dxf>
      <alignment horizontal="right" vertical="bottom" textRotation="0" wrapText="1" indent="0" justifyLastLine="0" shrinkToFit="0" readingOrder="0"/>
    </dxf>
    <dxf>
      <border outline="0">
        <bottom style="thick">
          <color rgb="FFFFC000"/>
        </bottom>
      </border>
    </dxf>
    <dxf>
      <font>
        <b val="0"/>
        <i val="0"/>
        <strike val="0"/>
        <condense val="0"/>
        <extend val="0"/>
        <outline val="0"/>
        <shadow val="0"/>
        <u val="none"/>
        <vertAlign val="baseline"/>
        <sz val="11"/>
        <color rgb="FFFFFFFF"/>
        <name val="Aptos Narrow"/>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On Excel.xlsx]pivot_table !PivotTable1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88888888888889"/>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88888888888889"/>
              <c:y val="-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5555555555555556"/>
              <c:y val="6.481481481481472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930664916885394E-2"/>
                  <c:h val="0.11567147856517936"/>
                </c:manualLayout>
              </c15:layout>
            </c:ext>
          </c:extLst>
        </c:dLbl>
      </c:pivotFmt>
      <c:pivotFmt>
        <c:idx val="4"/>
        <c:spPr>
          <a:solidFill>
            <a:schemeClr val="accent1"/>
          </a:solidFill>
          <a:ln w="19050">
            <a:solidFill>
              <a:schemeClr val="lt1"/>
            </a:solidFill>
          </a:ln>
          <a:effectLst/>
        </c:spPr>
        <c:dLbl>
          <c:idx val="0"/>
          <c:layout>
            <c:manualLayout>
              <c:x val="0.16944444444444445"/>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F08B-4E70-90FE-8B90E21F3B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F08B-4E70-90FE-8B90E21F3B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F08B-4E70-90FE-8B90E21F3B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F08B-4E70-90FE-8B90E21F3BFD}"/>
              </c:ext>
            </c:extLst>
          </c:dPt>
          <c:dLbls>
            <c:dLbl>
              <c:idx val="0"/>
              <c:layout>
                <c:manualLayout>
                  <c:x val="0.1388888888888889"/>
                  <c:y val="-9.25925925925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8B-4E70-90FE-8B90E21F3BFD}"/>
                </c:ext>
              </c:extLst>
            </c:dLbl>
            <c:dLbl>
              <c:idx val="1"/>
              <c:layout>
                <c:manualLayout>
                  <c:x val="0.16944444444444445"/>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08B-4E70-90FE-8B90E21F3BFD}"/>
                </c:ext>
              </c:extLst>
            </c:dLbl>
            <c:dLbl>
              <c:idx val="2"/>
              <c:layout>
                <c:manualLayout>
                  <c:x val="-0.15555555555555556"/>
                  <c:y val="6.481481481481472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930664916885394E-2"/>
                      <c:h val="0.11567147856517936"/>
                    </c:manualLayout>
                  </c15:layout>
                </c:ext>
                <c:ext xmlns:c16="http://schemas.microsoft.com/office/drawing/2014/chart" uri="{C3380CC4-5D6E-409C-BE32-E72D297353CC}">
                  <c16:uniqueId val="{00000004-F08B-4E70-90FE-8B90E21F3BFD}"/>
                </c:ext>
              </c:extLst>
            </c:dLbl>
            <c:dLbl>
              <c:idx val="3"/>
              <c:layout>
                <c:manualLayout>
                  <c:x val="-0.1388888888888889"/>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8B-4E70-90FE-8B90E21F3BF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 '!$A$4:$A$8</c:f>
              <c:strCache>
                <c:ptCount val="4"/>
                <c:pt idx="0">
                  <c:v>East</c:v>
                </c:pt>
                <c:pt idx="1">
                  <c:v>North</c:v>
                </c:pt>
                <c:pt idx="2">
                  <c:v>South</c:v>
                </c:pt>
                <c:pt idx="3">
                  <c:v>West</c:v>
                </c:pt>
              </c:strCache>
            </c:strRef>
          </c:cat>
          <c:val>
            <c:numRef>
              <c:f>'pivot_table '!$B$4:$B$8</c:f>
              <c:numCache>
                <c:formatCode>"₹"\ ###,##0.00,,"L"</c:formatCode>
                <c:ptCount val="4"/>
                <c:pt idx="0">
                  <c:v>3534400</c:v>
                </c:pt>
                <c:pt idx="1">
                  <c:v>2661400</c:v>
                </c:pt>
                <c:pt idx="2">
                  <c:v>2870600</c:v>
                </c:pt>
                <c:pt idx="3">
                  <c:v>3878100</c:v>
                </c:pt>
              </c:numCache>
            </c:numRef>
          </c:val>
          <c:extLst>
            <c:ext xmlns:c16="http://schemas.microsoft.com/office/drawing/2014/chart" uri="{C3380CC4-5D6E-409C-BE32-E72D297353CC}">
              <c16:uniqueId val="{00000000-F08B-4E70-90FE-8B90E21F3BFD}"/>
            </c:ext>
          </c:extLst>
        </c:ser>
        <c:dLbls>
          <c:showLegendKey val="0"/>
          <c:showVal val="1"/>
          <c:showCatName val="0"/>
          <c:showSerName val="0"/>
          <c:showPercent val="0"/>
          <c:showBubbleSize val="0"/>
          <c:showLeaderLines val="1"/>
        </c:dLbls>
        <c:firstSliceAng val="0"/>
        <c:holeSize val="53"/>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On Excel.xlsx]pivot_table !PivotTable2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 '!$F$3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'!$E$4:$E$11</c:f>
              <c:strCache>
                <c:ptCount val="7"/>
                <c:pt idx="0">
                  <c:v>Action Figure</c:v>
                </c:pt>
                <c:pt idx="1">
                  <c:v>Blender</c:v>
                </c:pt>
                <c:pt idx="2">
                  <c:v>Moisturizer</c:v>
                </c:pt>
                <c:pt idx="3">
                  <c:v>Novel</c:v>
                </c:pt>
                <c:pt idx="4">
                  <c:v>Smartphone</c:v>
                </c:pt>
                <c:pt idx="5">
                  <c:v>Sneakers</c:v>
                </c:pt>
                <c:pt idx="6">
                  <c:v>Tent</c:v>
                </c:pt>
              </c:strCache>
            </c:strRef>
          </c:cat>
          <c:val>
            <c:numRef>
              <c:f>'pivot_table '!$F$4:$F$11</c:f>
              <c:numCache>
                <c:formatCode>"₹"\ ###,##0.00,,"L"</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6888-4A23-8FC2-CE296954590D}"/>
            </c:ext>
          </c:extLst>
        </c:ser>
        <c:dLbls>
          <c:showLegendKey val="0"/>
          <c:showVal val="0"/>
          <c:showCatName val="0"/>
          <c:showSerName val="0"/>
          <c:showPercent val="0"/>
          <c:showBubbleSize val="0"/>
        </c:dLbls>
        <c:gapWidth val="78"/>
        <c:axId val="551474208"/>
        <c:axId val="551475168"/>
      </c:barChart>
      <c:catAx>
        <c:axId val="551474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475168"/>
        <c:crosses val="autoZero"/>
        <c:auto val="1"/>
        <c:lblAlgn val="ctr"/>
        <c:lblOffset val="100"/>
        <c:noMultiLvlLbl val="0"/>
      </c:catAx>
      <c:valAx>
        <c:axId val="551475168"/>
        <c:scaling>
          <c:orientation val="minMax"/>
        </c:scaling>
        <c:delete val="1"/>
        <c:axPos val="b"/>
        <c:numFmt formatCode="&quot;₹&quot;\ ###,##0.00,,&quot;L&quot;" sourceLinked="1"/>
        <c:majorTickMark val="out"/>
        <c:minorTickMark val="none"/>
        <c:tickLblPos val="nextTo"/>
        <c:crossAx val="55147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On Excel.xlsx]pivot_table !PivotTable3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 '!$I$3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'!$H$4:$H$14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'pivot_table '!$I$4:$I$14</c:f>
              <c:numCache>
                <c:formatCode>"₹"\ ###,##0.00,,"L"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F573-4A29-AE58-7D6E895616F3}"/>
            </c:ext>
          </c:extLst>
        </c:ser>
        <c:dLbls>
          <c:showLegendKey val="0"/>
          <c:showVal val="0"/>
          <c:showCatName val="0"/>
          <c:showSerName val="0"/>
          <c:showPercent val="0"/>
          <c:showBubbleSize val="0"/>
        </c:dLbls>
        <c:gapWidth val="76"/>
        <c:overlap val="-27"/>
        <c:axId val="551435232"/>
        <c:axId val="551436192"/>
      </c:barChart>
      <c:catAx>
        <c:axId val="55143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436192"/>
        <c:crosses val="autoZero"/>
        <c:auto val="1"/>
        <c:lblAlgn val="ctr"/>
        <c:lblOffset val="100"/>
        <c:noMultiLvlLbl val="0"/>
      </c:catAx>
      <c:valAx>
        <c:axId val="551436192"/>
        <c:scaling>
          <c:orientation val="minMax"/>
        </c:scaling>
        <c:delete val="1"/>
        <c:axPos val="l"/>
        <c:numFmt formatCode="&quot;₹&quot;\ ###,##0.00,,&quot;L&quot;" sourceLinked="1"/>
        <c:majorTickMark val="none"/>
        <c:minorTickMark val="none"/>
        <c:tickLblPos val="nextTo"/>
        <c:crossAx val="55143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On Excel.xlsx]pivot_table !PivotTable4</c:name>
    <c:fmtId val="3"/>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485564304461943E-2"/>
          <c:y val="7.407407407407407E-2"/>
          <c:w val="0.93888888888888888"/>
          <c:h val="0.84204505686789155"/>
        </c:manualLayout>
      </c:layout>
      <c:lineChart>
        <c:grouping val="standard"/>
        <c:varyColors val="0"/>
        <c:ser>
          <c:idx val="0"/>
          <c:order val="0"/>
          <c:tx>
            <c:strRef>
              <c:f>'pivot_table '!$M$3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'!$L$4:$L$11</c:f>
              <c:strCache>
                <c:ptCount val="7"/>
                <c:pt idx="0">
                  <c:v>Action Figure</c:v>
                </c:pt>
                <c:pt idx="1">
                  <c:v>Blender</c:v>
                </c:pt>
                <c:pt idx="2">
                  <c:v>Moisturizer</c:v>
                </c:pt>
                <c:pt idx="3">
                  <c:v>Novel</c:v>
                </c:pt>
                <c:pt idx="4">
                  <c:v>Smartphone</c:v>
                </c:pt>
                <c:pt idx="5">
                  <c:v>Sneakers</c:v>
                </c:pt>
                <c:pt idx="6">
                  <c:v>Tent</c:v>
                </c:pt>
              </c:strCache>
            </c:strRef>
          </c:cat>
          <c:val>
            <c:numRef>
              <c:f>'pivot_table '!$M$4:$M$11</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0353-4E96-AFBA-A5D7AB6032B9}"/>
            </c:ext>
          </c:extLst>
        </c:ser>
        <c:dLbls>
          <c:dLblPos val="t"/>
          <c:showLegendKey val="0"/>
          <c:showVal val="1"/>
          <c:showCatName val="0"/>
          <c:showSerName val="0"/>
          <c:showPercent val="0"/>
          <c:showBubbleSize val="0"/>
        </c:dLbls>
        <c:marker val="1"/>
        <c:smooth val="0"/>
        <c:axId val="625364304"/>
        <c:axId val="625365744"/>
      </c:lineChart>
      <c:catAx>
        <c:axId val="625364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365744"/>
        <c:crosses val="autoZero"/>
        <c:auto val="1"/>
        <c:lblAlgn val="ctr"/>
        <c:lblOffset val="100"/>
        <c:noMultiLvlLbl val="0"/>
      </c:catAx>
      <c:valAx>
        <c:axId val="625365744"/>
        <c:scaling>
          <c:orientation val="minMax"/>
        </c:scaling>
        <c:delete val="1"/>
        <c:axPos val="l"/>
        <c:numFmt formatCode="General" sourceLinked="1"/>
        <c:majorTickMark val="none"/>
        <c:minorTickMark val="none"/>
        <c:tickLblPos val="nextTo"/>
        <c:crossAx val="62536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On Excel.xlsx]pivot_table !PivotTable4</c:name>
    <c:fmtId val="10"/>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 '!$M$3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'!$L$4:$L$11</c:f>
              <c:strCache>
                <c:ptCount val="7"/>
                <c:pt idx="0">
                  <c:v>Action Figure</c:v>
                </c:pt>
                <c:pt idx="1">
                  <c:v>Blender</c:v>
                </c:pt>
                <c:pt idx="2">
                  <c:v>Moisturizer</c:v>
                </c:pt>
                <c:pt idx="3">
                  <c:v>Novel</c:v>
                </c:pt>
                <c:pt idx="4">
                  <c:v>Smartphone</c:v>
                </c:pt>
                <c:pt idx="5">
                  <c:v>Sneakers</c:v>
                </c:pt>
                <c:pt idx="6">
                  <c:v>Tent</c:v>
                </c:pt>
              </c:strCache>
            </c:strRef>
          </c:cat>
          <c:val>
            <c:numRef>
              <c:f>'pivot_table '!$M$4:$M$11</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9633-4AA5-8CCA-8700602BA2A7}"/>
            </c:ext>
          </c:extLst>
        </c:ser>
        <c:dLbls>
          <c:dLblPos val="t"/>
          <c:showLegendKey val="0"/>
          <c:showVal val="1"/>
          <c:showCatName val="0"/>
          <c:showSerName val="0"/>
          <c:showPercent val="0"/>
          <c:showBubbleSize val="0"/>
        </c:dLbls>
        <c:marker val="1"/>
        <c:smooth val="0"/>
        <c:axId val="625364304"/>
        <c:axId val="625365744"/>
      </c:lineChart>
      <c:catAx>
        <c:axId val="625364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625365744"/>
        <c:crosses val="autoZero"/>
        <c:auto val="1"/>
        <c:lblAlgn val="ctr"/>
        <c:lblOffset val="100"/>
        <c:noMultiLvlLbl val="0"/>
      </c:catAx>
      <c:valAx>
        <c:axId val="625365744"/>
        <c:scaling>
          <c:orientation val="minMax"/>
        </c:scaling>
        <c:delete val="1"/>
        <c:axPos val="l"/>
        <c:numFmt formatCode="General" sourceLinked="1"/>
        <c:majorTickMark val="none"/>
        <c:minorTickMark val="none"/>
        <c:tickLblPos val="nextTo"/>
        <c:crossAx val="62536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On Excel.xlsx]pivot_table !PivotTable1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88888888888889"/>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88888888888889"/>
              <c:y val="-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5555555555555556"/>
              <c:y val="6.481481481481472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930664916885394E-2"/>
                  <c:h val="0.11567147856517936"/>
                </c:manualLayout>
              </c15:layout>
            </c:ext>
          </c:extLst>
        </c:dLbl>
      </c:pivotFmt>
      <c:pivotFmt>
        <c:idx val="4"/>
        <c:spPr>
          <a:solidFill>
            <a:schemeClr val="accent1"/>
          </a:solidFill>
          <a:ln w="19050">
            <a:solidFill>
              <a:schemeClr val="lt1"/>
            </a:solidFill>
          </a:ln>
          <a:effectLst/>
        </c:spPr>
        <c:dLbl>
          <c:idx val="0"/>
          <c:layout>
            <c:manualLayout>
              <c:x val="0.16944444444444445"/>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88888888888889"/>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6944444444444445"/>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5555555555555556"/>
              <c:y val="6.481481481481472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930664916885394E-2"/>
                  <c:h val="0.11567147856517936"/>
                </c:manualLayout>
              </c15:layout>
            </c:ext>
          </c:extLst>
        </c:dLbl>
      </c:pivotFmt>
      <c:pivotFmt>
        <c:idx val="9"/>
        <c:spPr>
          <a:solidFill>
            <a:schemeClr val="accent1"/>
          </a:solidFill>
          <a:ln w="19050">
            <a:solidFill>
              <a:schemeClr val="lt1"/>
            </a:solidFill>
          </a:ln>
          <a:effectLst/>
        </c:spPr>
        <c:dLbl>
          <c:idx val="0"/>
          <c:layout>
            <c:manualLayout>
              <c:x val="-0.1388888888888889"/>
              <c:y val="-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24964654309922926"/>
              <c:y val="-9.2592592592592629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31368699102155578"/>
              <c:y val="6.0185185185185182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24178122724849835"/>
              <c:y val="6.4814722431631999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990374888620113"/>
                  <c:h val="0.11567129379881391"/>
                </c:manualLayout>
              </c15:layout>
            </c:ext>
          </c:extLst>
        </c:dLbl>
      </c:pivotFmt>
      <c:pivotFmt>
        <c:idx val="14"/>
        <c:spPr>
          <a:solidFill>
            <a:schemeClr val="accent1"/>
          </a:solidFill>
          <a:ln w="19050">
            <a:solidFill>
              <a:schemeClr val="lt1"/>
            </a:solidFill>
          </a:ln>
          <a:effectLst/>
        </c:spPr>
        <c:dLbl>
          <c:idx val="0"/>
          <c:layout>
            <c:manualLayout>
              <c:x val="-0.27282836708894903"/>
              <c:y val="-0.125"/>
            </c:manualLayout>
          </c:layout>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94421860926502"/>
          <c:y val="0.11636196043065837"/>
          <c:w val="0.34117215658095068"/>
          <c:h val="0.74546663150967518"/>
        </c:manualLayout>
      </c:layout>
      <c:doughnutChart>
        <c:varyColors val="1"/>
        <c:ser>
          <c:idx val="0"/>
          <c:order val="0"/>
          <c:tx>
            <c:strRef>
              <c:f>'pivot_table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8C-405A-BB75-0776C72836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8C-405A-BB75-0776C72836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8C-405A-BB75-0776C72836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8C-405A-BB75-0776C728367D}"/>
              </c:ext>
            </c:extLst>
          </c:dPt>
          <c:dLbls>
            <c:dLbl>
              <c:idx val="0"/>
              <c:layout>
                <c:manualLayout>
                  <c:x val="0.24964654309922926"/>
                  <c:y val="-9.25925925925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8C-405A-BB75-0776C728367D}"/>
                </c:ext>
              </c:extLst>
            </c:dLbl>
            <c:dLbl>
              <c:idx val="1"/>
              <c:layout>
                <c:manualLayout>
                  <c:x val="0.31368699102155578"/>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8C-405A-BB75-0776C728367D}"/>
                </c:ext>
              </c:extLst>
            </c:dLbl>
            <c:dLbl>
              <c:idx val="2"/>
              <c:layout>
                <c:manualLayout>
                  <c:x val="-0.24178122724849835"/>
                  <c:y val="6.4814722431631999E-2"/>
                </c:manualLayout>
              </c:layout>
              <c:showLegendKey val="0"/>
              <c:showVal val="1"/>
              <c:showCatName val="0"/>
              <c:showSerName val="0"/>
              <c:showPercent val="0"/>
              <c:showBubbleSize val="0"/>
              <c:extLst>
                <c:ext xmlns:c15="http://schemas.microsoft.com/office/drawing/2012/chart" uri="{CE6537A1-D6FC-4f65-9D91-7224C49458BB}">
                  <c15:layout>
                    <c:manualLayout>
                      <c:w val="0.16990374888620113"/>
                      <c:h val="0.11567129379881391"/>
                    </c:manualLayout>
                  </c15:layout>
                </c:ext>
                <c:ext xmlns:c16="http://schemas.microsoft.com/office/drawing/2014/chart" uri="{C3380CC4-5D6E-409C-BE32-E72D297353CC}">
                  <c16:uniqueId val="{00000005-B78C-405A-BB75-0776C728367D}"/>
                </c:ext>
              </c:extLst>
            </c:dLbl>
            <c:dLbl>
              <c:idx val="3"/>
              <c:layout>
                <c:manualLayout>
                  <c:x val="-0.27282836708894903"/>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78C-405A-BB75-0776C728367D}"/>
                </c:ext>
              </c:extLst>
            </c:dLbl>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 '!$A$4:$A$8</c:f>
              <c:strCache>
                <c:ptCount val="4"/>
                <c:pt idx="0">
                  <c:v>East</c:v>
                </c:pt>
                <c:pt idx="1">
                  <c:v>North</c:v>
                </c:pt>
                <c:pt idx="2">
                  <c:v>South</c:v>
                </c:pt>
                <c:pt idx="3">
                  <c:v>West</c:v>
                </c:pt>
              </c:strCache>
            </c:strRef>
          </c:cat>
          <c:val>
            <c:numRef>
              <c:f>'pivot_table '!$B$4:$B$8</c:f>
              <c:numCache>
                <c:formatCode>"₹"\ ###,##0.00,,"L"</c:formatCode>
                <c:ptCount val="4"/>
                <c:pt idx="0">
                  <c:v>3534400</c:v>
                </c:pt>
                <c:pt idx="1">
                  <c:v>2661400</c:v>
                </c:pt>
                <c:pt idx="2">
                  <c:v>2870600</c:v>
                </c:pt>
                <c:pt idx="3">
                  <c:v>3878100</c:v>
                </c:pt>
              </c:numCache>
            </c:numRef>
          </c:val>
          <c:extLst>
            <c:ext xmlns:c16="http://schemas.microsoft.com/office/drawing/2014/chart" uri="{C3380CC4-5D6E-409C-BE32-E72D297353CC}">
              <c16:uniqueId val="{00000008-B78C-405A-BB75-0776C728367D}"/>
            </c:ext>
          </c:extLst>
        </c:ser>
        <c:dLbls>
          <c:showLegendKey val="0"/>
          <c:showVal val="1"/>
          <c:showCatName val="0"/>
          <c:showSerName val="0"/>
          <c:showPercent val="0"/>
          <c:showBubbleSize val="0"/>
          <c:showLeaderLines val="1"/>
        </c:dLbls>
        <c:firstSliceAng val="0"/>
        <c:holeSize val="53"/>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On Excel.xlsx]pivot_table !PivotTable2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28885723738246"/>
          <c:y val="8.1018493906601194E-2"/>
          <c:w val="0.80044384810194602"/>
          <c:h val="0.85956794389522462"/>
        </c:manualLayout>
      </c:layout>
      <c:barChart>
        <c:barDir val="bar"/>
        <c:grouping val="clustered"/>
        <c:varyColors val="0"/>
        <c:ser>
          <c:idx val="0"/>
          <c:order val="0"/>
          <c:tx>
            <c:strRef>
              <c:f>'pivot_table '!$F$3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'!$E$4:$E$11</c:f>
              <c:strCache>
                <c:ptCount val="7"/>
                <c:pt idx="0">
                  <c:v>Action Figure</c:v>
                </c:pt>
                <c:pt idx="1">
                  <c:v>Blender</c:v>
                </c:pt>
                <c:pt idx="2">
                  <c:v>Moisturizer</c:v>
                </c:pt>
                <c:pt idx="3">
                  <c:v>Novel</c:v>
                </c:pt>
                <c:pt idx="4">
                  <c:v>Smartphone</c:v>
                </c:pt>
                <c:pt idx="5">
                  <c:v>Sneakers</c:v>
                </c:pt>
                <c:pt idx="6">
                  <c:v>Tent</c:v>
                </c:pt>
              </c:strCache>
            </c:strRef>
          </c:cat>
          <c:val>
            <c:numRef>
              <c:f>'pivot_table '!$F$4:$F$11</c:f>
              <c:numCache>
                <c:formatCode>"₹"\ ###,##0.00,,"L"</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9D5C-4EFE-A54A-1AC323910EB2}"/>
            </c:ext>
          </c:extLst>
        </c:ser>
        <c:dLbls>
          <c:showLegendKey val="0"/>
          <c:showVal val="0"/>
          <c:showCatName val="0"/>
          <c:showSerName val="0"/>
          <c:showPercent val="0"/>
          <c:showBubbleSize val="0"/>
        </c:dLbls>
        <c:gapWidth val="78"/>
        <c:axId val="551474208"/>
        <c:axId val="551475168"/>
      </c:barChart>
      <c:catAx>
        <c:axId val="551474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475168"/>
        <c:crosses val="autoZero"/>
        <c:auto val="1"/>
        <c:lblAlgn val="ctr"/>
        <c:lblOffset val="100"/>
        <c:noMultiLvlLbl val="0"/>
      </c:catAx>
      <c:valAx>
        <c:axId val="551475168"/>
        <c:scaling>
          <c:orientation val="minMax"/>
        </c:scaling>
        <c:delete val="1"/>
        <c:axPos val="b"/>
        <c:numFmt formatCode="&quot;₹&quot;\ ###,##0.00,,&quot;L&quot;" sourceLinked="1"/>
        <c:majorTickMark val="out"/>
        <c:minorTickMark val="none"/>
        <c:tickLblPos val="nextTo"/>
        <c:crossAx val="55147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On Excel.xlsx]pivot_table !PivotTable3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 '!$I$3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'!$H$4:$H$14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'pivot_table '!$I$4:$I$14</c:f>
              <c:numCache>
                <c:formatCode>"₹"\ ###,##0.00,,"L"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7A57-47D1-AEC7-91E6A30196EA}"/>
            </c:ext>
          </c:extLst>
        </c:ser>
        <c:dLbls>
          <c:showLegendKey val="0"/>
          <c:showVal val="0"/>
          <c:showCatName val="0"/>
          <c:showSerName val="0"/>
          <c:showPercent val="0"/>
          <c:showBubbleSize val="0"/>
        </c:dLbls>
        <c:gapWidth val="76"/>
        <c:overlap val="-27"/>
        <c:axId val="551435232"/>
        <c:axId val="551436192"/>
      </c:barChart>
      <c:catAx>
        <c:axId val="55143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436192"/>
        <c:crosses val="autoZero"/>
        <c:auto val="1"/>
        <c:lblAlgn val="ctr"/>
        <c:lblOffset val="100"/>
        <c:noMultiLvlLbl val="0"/>
      </c:catAx>
      <c:valAx>
        <c:axId val="551436192"/>
        <c:scaling>
          <c:orientation val="minMax"/>
        </c:scaling>
        <c:delete val="1"/>
        <c:axPos val="l"/>
        <c:numFmt formatCode="&quot;₹&quot;\ ###,##0.00,,&quot;L&quot;" sourceLinked="1"/>
        <c:majorTickMark val="none"/>
        <c:minorTickMark val="none"/>
        <c:tickLblPos val="nextTo"/>
        <c:crossAx val="55143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246063</xdr:colOff>
      <xdr:row>17</xdr:row>
      <xdr:rowOff>9525</xdr:rowOff>
    </xdr:from>
    <xdr:to>
      <xdr:col>5</xdr:col>
      <xdr:colOff>666750</xdr:colOff>
      <xdr:row>32</xdr:row>
      <xdr:rowOff>14288</xdr:rowOff>
    </xdr:to>
    <xdr:graphicFrame macro="">
      <xdr:nvGraphicFramePr>
        <xdr:cNvPr id="2" name="Chart 1">
          <a:extLst>
            <a:ext uri="{FF2B5EF4-FFF2-40B4-BE49-F238E27FC236}">
              <a16:creationId xmlns:a16="http://schemas.microsoft.com/office/drawing/2014/main" id="{CCD1E18E-33DA-0D2C-F926-2F335EAD5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480219</xdr:colOff>
      <xdr:row>23</xdr:row>
      <xdr:rowOff>160338</xdr:rowOff>
    </xdr:from>
    <xdr:to>
      <xdr:col>11</xdr:col>
      <xdr:colOff>27782</xdr:colOff>
      <xdr:row>38</xdr:row>
      <xdr:rowOff>165101</xdr:rowOff>
    </xdr:to>
    <xdr:graphicFrame macro="">
      <xdr:nvGraphicFramePr>
        <xdr:cNvPr id="3" name="Chart 2">
          <a:extLst>
            <a:ext uri="{FF2B5EF4-FFF2-40B4-BE49-F238E27FC236}">
              <a16:creationId xmlns:a16="http://schemas.microsoft.com/office/drawing/2014/main" id="{A02FA26E-3DDD-D8C7-D6E7-D9B0904A5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162718</xdr:colOff>
      <xdr:row>5</xdr:row>
      <xdr:rowOff>88900</xdr:rowOff>
    </xdr:from>
    <xdr:to>
      <xdr:col>9</xdr:col>
      <xdr:colOff>43656</xdr:colOff>
      <xdr:row>20</xdr:row>
      <xdr:rowOff>93663</xdr:rowOff>
    </xdr:to>
    <xdr:graphicFrame macro="">
      <xdr:nvGraphicFramePr>
        <xdr:cNvPr id="4" name="Chart 3">
          <a:extLst>
            <a:ext uri="{FF2B5EF4-FFF2-40B4-BE49-F238E27FC236}">
              <a16:creationId xmlns:a16="http://schemas.microsoft.com/office/drawing/2014/main" id="{07455BF2-7757-4797-5AC4-53DA21BA7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27781</xdr:colOff>
      <xdr:row>8</xdr:row>
      <xdr:rowOff>9525</xdr:rowOff>
    </xdr:from>
    <xdr:to>
      <xdr:col>5</xdr:col>
      <xdr:colOff>448468</xdr:colOff>
      <xdr:row>23</xdr:row>
      <xdr:rowOff>14287</xdr:rowOff>
    </xdr:to>
    <xdr:graphicFrame macro="">
      <xdr:nvGraphicFramePr>
        <xdr:cNvPr id="5" name="Chart 4">
          <a:extLst>
            <a:ext uri="{FF2B5EF4-FFF2-40B4-BE49-F238E27FC236}">
              <a16:creationId xmlns:a16="http://schemas.microsoft.com/office/drawing/2014/main" id="{B7287DC5-B04D-754D-FB28-0479BEA98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301625</xdr:colOff>
      <xdr:row>0</xdr:row>
      <xdr:rowOff>0</xdr:rowOff>
    </xdr:from>
    <xdr:to>
      <xdr:col>17</xdr:col>
      <xdr:colOff>296863</xdr:colOff>
      <xdr:row>14</xdr:row>
      <xdr:rowOff>25400</xdr:rowOff>
    </xdr:to>
    <mc:AlternateContent xmlns:mc="http://schemas.openxmlformats.org/markup-compatibility/2006" xmlns:a14="http://schemas.microsoft.com/office/drawing/2010/main">
      <mc:Choice Requires="a14">
        <xdr:graphicFrame macro="">
          <xdr:nvGraphicFramePr>
            <xdr:cNvPr id="6" name="Sales Person">
              <a:extLst>
                <a:ext uri="{FF2B5EF4-FFF2-40B4-BE49-F238E27FC236}">
                  <a16:creationId xmlns:a16="http://schemas.microsoft.com/office/drawing/2014/main" id="{1F0E400B-B6B8-0D80-54B8-280C06D0384B}"/>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2088813"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781686</xdr:colOff>
      <xdr:row>12</xdr:row>
      <xdr:rowOff>47308</xdr:rowOff>
    </xdr:from>
    <xdr:to>
      <xdr:col>11</xdr:col>
      <xdr:colOff>63500</xdr:colOff>
      <xdr:row>16</xdr:row>
      <xdr:rowOff>37058</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69E25B1-E44D-933F-1C7B-2090F50657E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584124" y="2238058"/>
              <a:ext cx="1655126"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594995</xdr:colOff>
      <xdr:row>2</xdr:row>
      <xdr:rowOff>94932</xdr:rowOff>
    </xdr:from>
    <xdr:to>
      <xdr:col>13</xdr:col>
      <xdr:colOff>423545</xdr:colOff>
      <xdr:row>16</xdr:row>
      <xdr:rowOff>120332</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889DE711-8586-8D11-170E-117304A8828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770745" y="460057"/>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0</xdr:row>
      <xdr:rowOff>53340</xdr:rowOff>
    </xdr:from>
    <xdr:to>
      <xdr:col>20</xdr:col>
      <xdr:colOff>591672</xdr:colOff>
      <xdr:row>6</xdr:row>
      <xdr:rowOff>8964</xdr:rowOff>
    </xdr:to>
    <xdr:sp macro="" textlink="">
      <xdr:nvSpPr>
        <xdr:cNvPr id="2" name="Rectangle: Rounded Corners 1">
          <a:extLst>
            <a:ext uri="{FF2B5EF4-FFF2-40B4-BE49-F238E27FC236}">
              <a16:creationId xmlns:a16="http://schemas.microsoft.com/office/drawing/2014/main" id="{94E09F04-758B-B9DF-130C-8F908265B151}"/>
            </a:ext>
          </a:extLst>
        </xdr:cNvPr>
        <xdr:cNvSpPr/>
      </xdr:nvSpPr>
      <xdr:spPr>
        <a:xfrm>
          <a:off x="53340" y="53340"/>
          <a:ext cx="12730332" cy="1031389"/>
        </a:xfrm>
        <a:prstGeom prst="roundRect">
          <a:avLst/>
        </a:prstGeom>
        <a:solidFill>
          <a:schemeClr val="tx2">
            <a:lumMod val="75000"/>
            <a:lumOff val="2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7</xdr:row>
      <xdr:rowOff>7620</xdr:rowOff>
    </xdr:from>
    <xdr:to>
      <xdr:col>4</xdr:col>
      <xdr:colOff>411480</xdr:colOff>
      <xdr:row>12</xdr:row>
      <xdr:rowOff>76200</xdr:rowOff>
    </xdr:to>
    <xdr:grpSp>
      <xdr:nvGrpSpPr>
        <xdr:cNvPr id="8" name="Group 7">
          <a:extLst>
            <a:ext uri="{FF2B5EF4-FFF2-40B4-BE49-F238E27FC236}">
              <a16:creationId xmlns:a16="http://schemas.microsoft.com/office/drawing/2014/main" id="{B5DBB4EE-7F92-A943-723B-788D5644515F}"/>
            </a:ext>
          </a:extLst>
        </xdr:cNvPr>
        <xdr:cNvGrpSpPr/>
      </xdr:nvGrpSpPr>
      <xdr:grpSpPr>
        <a:xfrm>
          <a:off x="0" y="1262679"/>
          <a:ext cx="2849880" cy="965050"/>
          <a:chOff x="0" y="1287780"/>
          <a:chExt cx="2506980" cy="1135380"/>
        </a:xfrm>
      </xdr:grpSpPr>
      <xdr:sp macro="" textlink="">
        <xdr:nvSpPr>
          <xdr:cNvPr id="3" name="Rectangle: Rounded Corners 2">
            <a:extLst>
              <a:ext uri="{FF2B5EF4-FFF2-40B4-BE49-F238E27FC236}">
                <a16:creationId xmlns:a16="http://schemas.microsoft.com/office/drawing/2014/main" id="{5294FE9F-6F63-E4C5-135A-7DD1A0DFC625}"/>
              </a:ext>
            </a:extLst>
          </xdr:cNvPr>
          <xdr:cNvSpPr/>
        </xdr:nvSpPr>
        <xdr:spPr>
          <a:xfrm>
            <a:off x="0" y="1295400"/>
            <a:ext cx="2506980" cy="1127760"/>
          </a:xfrm>
          <a:prstGeom prst="roundRect">
            <a:avLst/>
          </a:prstGeom>
          <a:noFill/>
          <a:ln>
            <a:solidFill>
              <a:schemeClr val="tx2">
                <a:lumMod val="90000"/>
                <a:lumOff val="1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xdr:txBody>
      </xdr:sp>
      <xdr:sp macro="" textlink="">
        <xdr:nvSpPr>
          <xdr:cNvPr id="4" name="Rectangle: Rounded Corners 3">
            <a:extLst>
              <a:ext uri="{FF2B5EF4-FFF2-40B4-BE49-F238E27FC236}">
                <a16:creationId xmlns:a16="http://schemas.microsoft.com/office/drawing/2014/main" id="{80ACC876-F69B-8B16-0B5E-AFA14A5AA8F8}"/>
              </a:ext>
            </a:extLst>
          </xdr:cNvPr>
          <xdr:cNvSpPr/>
        </xdr:nvSpPr>
        <xdr:spPr>
          <a:xfrm>
            <a:off x="7620" y="1287780"/>
            <a:ext cx="876300" cy="1127760"/>
          </a:xfrm>
          <a:prstGeom prst="roundRect">
            <a:avLst/>
          </a:prstGeom>
          <a:solidFill>
            <a:schemeClr val="accent1"/>
          </a:solidFill>
          <a:ln>
            <a:solidFill>
              <a:schemeClr val="tx2">
                <a:lumMod val="90000"/>
                <a:lumOff val="1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a:p>
        </xdr:txBody>
      </xdr:sp>
      <xdr:sp macro="" textlink="">
        <xdr:nvSpPr>
          <xdr:cNvPr id="5" name="TextBox 4">
            <a:extLst>
              <a:ext uri="{FF2B5EF4-FFF2-40B4-BE49-F238E27FC236}">
                <a16:creationId xmlns:a16="http://schemas.microsoft.com/office/drawing/2014/main" id="{3A25CC65-5242-36EB-EBE9-A0336A2E046C}"/>
              </a:ext>
            </a:extLst>
          </xdr:cNvPr>
          <xdr:cNvSpPr txBox="1"/>
        </xdr:nvSpPr>
        <xdr:spPr>
          <a:xfrm>
            <a:off x="1066800" y="1478280"/>
            <a:ext cx="1249680" cy="350520"/>
          </a:xfrm>
          <a:prstGeom prst="rect">
            <a:avLst/>
          </a:prstGeom>
          <a:noFill/>
          <a:ln w="9525"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1"/>
                </a:solidFill>
              </a:rPr>
              <a:t>TOTAL</a:t>
            </a:r>
            <a:r>
              <a:rPr lang="en-IN" sz="1600" b="1" baseline="0">
                <a:solidFill>
                  <a:schemeClr val="accent1"/>
                </a:solidFill>
              </a:rPr>
              <a:t> SALES</a:t>
            </a:r>
            <a:endParaRPr lang="en-IN" sz="1600" b="1">
              <a:solidFill>
                <a:schemeClr val="accent1"/>
              </a:solidFill>
            </a:endParaRPr>
          </a:p>
        </xdr:txBody>
      </xdr:sp>
      <xdr:sp macro="" textlink="'Convert onto table'!M8">
        <xdr:nvSpPr>
          <xdr:cNvPr id="6" name="TextBox 5">
            <a:extLst>
              <a:ext uri="{FF2B5EF4-FFF2-40B4-BE49-F238E27FC236}">
                <a16:creationId xmlns:a16="http://schemas.microsoft.com/office/drawing/2014/main" id="{A728103B-5DF3-C2CA-B261-019A4156A4B4}"/>
              </a:ext>
            </a:extLst>
          </xdr:cNvPr>
          <xdr:cNvSpPr txBox="1"/>
        </xdr:nvSpPr>
        <xdr:spPr>
          <a:xfrm>
            <a:off x="960120" y="1935480"/>
            <a:ext cx="1470660" cy="297180"/>
          </a:xfrm>
          <a:prstGeom prst="rect">
            <a:avLst/>
          </a:prstGeom>
          <a:noFill/>
          <a:ln w="9525"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740C36-8E80-486D-A35A-45B0E7D0D580}" type="TxLink">
              <a:rPr lang="en-US" sz="1600" b="1" i="0" u="none" strike="noStrike">
                <a:solidFill>
                  <a:schemeClr val="tx2">
                    <a:lumMod val="75000"/>
                    <a:lumOff val="25000"/>
                  </a:schemeClr>
                </a:solidFill>
                <a:latin typeface="Aptos Narrow"/>
              </a:rPr>
              <a:pPr algn="ctr"/>
              <a:t>1,29,44,500</a:t>
            </a:fld>
            <a:endParaRPr lang="en-IN" sz="1600" b="1">
              <a:solidFill>
                <a:schemeClr val="tx2">
                  <a:lumMod val="75000"/>
                  <a:lumOff val="25000"/>
                </a:schemeClr>
              </a:solidFill>
            </a:endParaRPr>
          </a:p>
        </xdr:txBody>
      </xdr:sp>
    </xdr:grpSp>
    <xdr:clientData/>
  </xdr:twoCellAnchor>
  <xdr:twoCellAnchor>
    <xdr:from>
      <xdr:col>4</xdr:col>
      <xdr:colOff>457199</xdr:colOff>
      <xdr:row>7</xdr:row>
      <xdr:rowOff>7620</xdr:rowOff>
    </xdr:from>
    <xdr:to>
      <xdr:col>9</xdr:col>
      <xdr:colOff>35858</xdr:colOff>
      <xdr:row>12</xdr:row>
      <xdr:rowOff>89648</xdr:rowOff>
    </xdr:to>
    <xdr:grpSp>
      <xdr:nvGrpSpPr>
        <xdr:cNvPr id="14" name="Group 13">
          <a:extLst>
            <a:ext uri="{FF2B5EF4-FFF2-40B4-BE49-F238E27FC236}">
              <a16:creationId xmlns:a16="http://schemas.microsoft.com/office/drawing/2014/main" id="{760108BF-C2A2-BB87-1BDD-3C6E1CCF0F41}"/>
            </a:ext>
          </a:extLst>
        </xdr:cNvPr>
        <xdr:cNvGrpSpPr/>
      </xdr:nvGrpSpPr>
      <xdr:grpSpPr>
        <a:xfrm>
          <a:off x="2895599" y="1262679"/>
          <a:ext cx="2626659" cy="978498"/>
          <a:chOff x="0" y="1287780"/>
          <a:chExt cx="2506980" cy="1135380"/>
        </a:xfrm>
      </xdr:grpSpPr>
      <xdr:sp macro="" textlink="">
        <xdr:nvSpPr>
          <xdr:cNvPr id="15" name="Rectangle: Rounded Corners 14">
            <a:extLst>
              <a:ext uri="{FF2B5EF4-FFF2-40B4-BE49-F238E27FC236}">
                <a16:creationId xmlns:a16="http://schemas.microsoft.com/office/drawing/2014/main" id="{1ADB200D-B18E-0F3D-AB0D-903B65205D04}"/>
              </a:ext>
            </a:extLst>
          </xdr:cNvPr>
          <xdr:cNvSpPr/>
        </xdr:nvSpPr>
        <xdr:spPr>
          <a:xfrm>
            <a:off x="0" y="1295400"/>
            <a:ext cx="2506980" cy="1127760"/>
          </a:xfrm>
          <a:prstGeom prst="roundRect">
            <a:avLst/>
          </a:prstGeom>
          <a:no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sp macro="" textlink="">
        <xdr:nvSpPr>
          <xdr:cNvPr id="16" name="Rectangle: Rounded Corners 15">
            <a:extLst>
              <a:ext uri="{FF2B5EF4-FFF2-40B4-BE49-F238E27FC236}">
                <a16:creationId xmlns:a16="http://schemas.microsoft.com/office/drawing/2014/main" id="{6455FFE7-938B-ABEE-B592-4274B960A009}"/>
              </a:ext>
            </a:extLst>
          </xdr:cNvPr>
          <xdr:cNvSpPr/>
        </xdr:nvSpPr>
        <xdr:spPr>
          <a:xfrm>
            <a:off x="7620" y="1287780"/>
            <a:ext cx="876300" cy="1127760"/>
          </a:xfrm>
          <a:prstGeom prst="roundRect">
            <a:avLst/>
          </a:prstGeom>
          <a:solidFill>
            <a:schemeClr val="accent1"/>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sp macro="" textlink="">
        <xdr:nvSpPr>
          <xdr:cNvPr id="17" name="TextBox 16">
            <a:extLst>
              <a:ext uri="{FF2B5EF4-FFF2-40B4-BE49-F238E27FC236}">
                <a16:creationId xmlns:a16="http://schemas.microsoft.com/office/drawing/2014/main" id="{835BB9D9-6F55-65CF-885E-E8FBAA9B23A5}"/>
              </a:ext>
            </a:extLst>
          </xdr:cNvPr>
          <xdr:cNvSpPr txBox="1"/>
        </xdr:nvSpPr>
        <xdr:spPr>
          <a:xfrm>
            <a:off x="997401" y="1478280"/>
            <a:ext cx="1408491" cy="350520"/>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baseline="0">
                <a:solidFill>
                  <a:schemeClr val="accent1"/>
                </a:solidFill>
              </a:rPr>
              <a:t>AVERAGE</a:t>
            </a:r>
            <a:endParaRPr lang="en-IN" sz="1600" b="1">
              <a:solidFill>
                <a:schemeClr val="accent1"/>
              </a:solidFill>
            </a:endParaRPr>
          </a:p>
        </xdr:txBody>
      </xdr:sp>
      <xdr:sp macro="" textlink="'Convert onto table'!M14">
        <xdr:nvSpPr>
          <xdr:cNvPr id="18" name="TextBox 17">
            <a:extLst>
              <a:ext uri="{FF2B5EF4-FFF2-40B4-BE49-F238E27FC236}">
                <a16:creationId xmlns:a16="http://schemas.microsoft.com/office/drawing/2014/main" id="{07C6CCBC-6A21-D203-32F4-AFF8B5CC8529}"/>
              </a:ext>
            </a:extLst>
          </xdr:cNvPr>
          <xdr:cNvSpPr txBox="1"/>
        </xdr:nvSpPr>
        <xdr:spPr>
          <a:xfrm>
            <a:off x="960120" y="1935480"/>
            <a:ext cx="1470660" cy="297180"/>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33292A-FA07-49F7-AC8B-302DC12687B4}" type="TxLink">
              <a:rPr lang="en-US" sz="1600" b="1" i="0" u="none" strike="noStrike">
                <a:solidFill>
                  <a:schemeClr val="tx2">
                    <a:lumMod val="75000"/>
                    <a:lumOff val="25000"/>
                  </a:schemeClr>
                </a:solidFill>
                <a:latin typeface="Aptos Narrow"/>
              </a:rPr>
              <a:pPr algn="ctr"/>
              <a:t>258890</a:t>
            </a:fld>
            <a:endParaRPr lang="en-US" sz="1600" b="1">
              <a:solidFill>
                <a:schemeClr val="tx2">
                  <a:lumMod val="75000"/>
                  <a:lumOff val="25000"/>
                </a:schemeClr>
              </a:solidFill>
            </a:endParaRPr>
          </a:p>
        </xdr:txBody>
      </xdr:sp>
    </xdr:grpSp>
    <xdr:clientData/>
  </xdr:twoCellAnchor>
  <xdr:twoCellAnchor>
    <xdr:from>
      <xdr:col>9</xdr:col>
      <xdr:colOff>143436</xdr:colOff>
      <xdr:row>6</xdr:row>
      <xdr:rowOff>168984</xdr:rowOff>
    </xdr:from>
    <xdr:to>
      <xdr:col>13</xdr:col>
      <xdr:colOff>143435</xdr:colOff>
      <xdr:row>12</xdr:row>
      <xdr:rowOff>125507</xdr:rowOff>
    </xdr:to>
    <xdr:grpSp>
      <xdr:nvGrpSpPr>
        <xdr:cNvPr id="19" name="Group 18">
          <a:extLst>
            <a:ext uri="{FF2B5EF4-FFF2-40B4-BE49-F238E27FC236}">
              <a16:creationId xmlns:a16="http://schemas.microsoft.com/office/drawing/2014/main" id="{08BFAEEE-7D42-D98D-3886-C2009F4F7132}"/>
            </a:ext>
          </a:extLst>
        </xdr:cNvPr>
        <xdr:cNvGrpSpPr/>
      </xdr:nvGrpSpPr>
      <xdr:grpSpPr>
        <a:xfrm>
          <a:off x="5629836" y="1244749"/>
          <a:ext cx="2438399" cy="1032287"/>
          <a:chOff x="0" y="1287780"/>
          <a:chExt cx="2506980" cy="1135380"/>
        </a:xfrm>
      </xdr:grpSpPr>
      <xdr:sp macro="" textlink="">
        <xdr:nvSpPr>
          <xdr:cNvPr id="20" name="Rectangle: Rounded Corners 19">
            <a:extLst>
              <a:ext uri="{FF2B5EF4-FFF2-40B4-BE49-F238E27FC236}">
                <a16:creationId xmlns:a16="http://schemas.microsoft.com/office/drawing/2014/main" id="{3879EFB7-642D-A682-230E-9D5F547EB169}"/>
              </a:ext>
            </a:extLst>
          </xdr:cNvPr>
          <xdr:cNvSpPr/>
        </xdr:nvSpPr>
        <xdr:spPr>
          <a:xfrm>
            <a:off x="0" y="1295400"/>
            <a:ext cx="2506980" cy="1127760"/>
          </a:xfrm>
          <a:prstGeom prst="roundRect">
            <a:avLst/>
          </a:prstGeom>
          <a:no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65472EE8-35D5-F881-19C1-080EE171009F}"/>
              </a:ext>
            </a:extLst>
          </xdr:cNvPr>
          <xdr:cNvSpPr/>
        </xdr:nvSpPr>
        <xdr:spPr>
          <a:xfrm>
            <a:off x="7620" y="1287780"/>
            <a:ext cx="876300" cy="1127760"/>
          </a:xfrm>
          <a:prstGeom prst="roundRect">
            <a:avLst/>
          </a:prstGeom>
          <a:solidFill>
            <a:schemeClr val="accent1"/>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84C4E1CC-3E48-949A-D872-9556B87FDB93}"/>
              </a:ext>
            </a:extLst>
          </xdr:cNvPr>
          <xdr:cNvSpPr txBox="1"/>
        </xdr:nvSpPr>
        <xdr:spPr>
          <a:xfrm>
            <a:off x="1066800" y="1478280"/>
            <a:ext cx="1249680" cy="350520"/>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1"/>
                </a:solidFill>
              </a:rPr>
              <a:t>UNITS</a:t>
            </a:r>
            <a:r>
              <a:rPr lang="en-IN" sz="1600" b="1" baseline="0">
                <a:solidFill>
                  <a:schemeClr val="accent1"/>
                </a:solidFill>
              </a:rPr>
              <a:t> SOLD</a:t>
            </a:r>
            <a:endParaRPr lang="en-IN" sz="1600" b="1">
              <a:solidFill>
                <a:schemeClr val="accent1"/>
              </a:solidFill>
            </a:endParaRPr>
          </a:p>
        </xdr:txBody>
      </xdr:sp>
      <xdr:sp macro="" textlink="'Convert onto table'!M10">
        <xdr:nvSpPr>
          <xdr:cNvPr id="23" name="TextBox 22">
            <a:extLst>
              <a:ext uri="{FF2B5EF4-FFF2-40B4-BE49-F238E27FC236}">
                <a16:creationId xmlns:a16="http://schemas.microsoft.com/office/drawing/2014/main" id="{F6F4BB9D-0370-1FB0-17CB-D48F2AEFAD23}"/>
              </a:ext>
            </a:extLst>
          </xdr:cNvPr>
          <xdr:cNvSpPr txBox="1"/>
        </xdr:nvSpPr>
        <xdr:spPr>
          <a:xfrm>
            <a:off x="986202" y="1989319"/>
            <a:ext cx="1297110" cy="243342"/>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EF104B-EA4F-4987-A3FE-833CA2C26E04}" type="TxLink">
              <a:rPr lang="en-US" sz="1600" b="1" i="0" u="none" strike="noStrike">
                <a:solidFill>
                  <a:schemeClr val="tx2">
                    <a:lumMod val="75000"/>
                    <a:lumOff val="25000"/>
                  </a:schemeClr>
                </a:solidFill>
                <a:latin typeface="Aptos Narrow"/>
              </a:rPr>
              <a:pPr algn="ctr"/>
              <a:t>4705</a:t>
            </a:fld>
            <a:endParaRPr lang="en-IN" sz="3600" b="1">
              <a:solidFill>
                <a:schemeClr val="tx2">
                  <a:lumMod val="75000"/>
                  <a:lumOff val="25000"/>
                </a:schemeClr>
              </a:solidFill>
            </a:endParaRPr>
          </a:p>
        </xdr:txBody>
      </xdr:sp>
    </xdr:grpSp>
    <xdr:clientData/>
  </xdr:twoCellAnchor>
  <xdr:twoCellAnchor>
    <xdr:from>
      <xdr:col>13</xdr:col>
      <xdr:colOff>233082</xdr:colOff>
      <xdr:row>7</xdr:row>
      <xdr:rowOff>7620</xdr:rowOff>
    </xdr:from>
    <xdr:to>
      <xdr:col>17</xdr:col>
      <xdr:colOff>537882</xdr:colOff>
      <xdr:row>12</xdr:row>
      <xdr:rowOff>129540</xdr:rowOff>
    </xdr:to>
    <xdr:grpSp>
      <xdr:nvGrpSpPr>
        <xdr:cNvPr id="24" name="Group 23">
          <a:extLst>
            <a:ext uri="{FF2B5EF4-FFF2-40B4-BE49-F238E27FC236}">
              <a16:creationId xmlns:a16="http://schemas.microsoft.com/office/drawing/2014/main" id="{D3D3D681-10C2-B226-090B-2361E8AD3CBD}"/>
            </a:ext>
          </a:extLst>
        </xdr:cNvPr>
        <xdr:cNvGrpSpPr/>
      </xdr:nvGrpSpPr>
      <xdr:grpSpPr>
        <a:xfrm>
          <a:off x="8157882" y="1262679"/>
          <a:ext cx="2743200" cy="1018390"/>
          <a:chOff x="0" y="1287780"/>
          <a:chExt cx="2506980" cy="1135380"/>
        </a:xfrm>
      </xdr:grpSpPr>
      <xdr:sp macro="" textlink="">
        <xdr:nvSpPr>
          <xdr:cNvPr id="25" name="Rectangle: Rounded Corners 24">
            <a:extLst>
              <a:ext uri="{FF2B5EF4-FFF2-40B4-BE49-F238E27FC236}">
                <a16:creationId xmlns:a16="http://schemas.microsoft.com/office/drawing/2014/main" id="{542585C0-9B52-280A-5599-B51F2DF0E94E}"/>
              </a:ext>
            </a:extLst>
          </xdr:cNvPr>
          <xdr:cNvSpPr/>
        </xdr:nvSpPr>
        <xdr:spPr>
          <a:xfrm>
            <a:off x="0" y="1295400"/>
            <a:ext cx="2506980" cy="1127760"/>
          </a:xfrm>
          <a:prstGeom prst="roundRect">
            <a:avLst/>
          </a:prstGeom>
          <a:no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Rectangle: Rounded Corners 25">
            <a:extLst>
              <a:ext uri="{FF2B5EF4-FFF2-40B4-BE49-F238E27FC236}">
                <a16:creationId xmlns:a16="http://schemas.microsoft.com/office/drawing/2014/main" id="{F70C5458-9A72-1781-4ACD-0DE6219B77D7}"/>
              </a:ext>
            </a:extLst>
          </xdr:cNvPr>
          <xdr:cNvSpPr/>
        </xdr:nvSpPr>
        <xdr:spPr>
          <a:xfrm>
            <a:off x="7620" y="1287780"/>
            <a:ext cx="876300" cy="1127760"/>
          </a:xfrm>
          <a:prstGeom prst="roundRect">
            <a:avLst/>
          </a:prstGeom>
          <a:solidFill>
            <a:schemeClr val="accent1"/>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7822E8A5-2AA3-B35D-5112-55CC1EF7439D}"/>
              </a:ext>
            </a:extLst>
          </xdr:cNvPr>
          <xdr:cNvSpPr txBox="1"/>
        </xdr:nvSpPr>
        <xdr:spPr>
          <a:xfrm>
            <a:off x="1066800" y="1478280"/>
            <a:ext cx="1249680" cy="350520"/>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1"/>
                </a:solidFill>
              </a:rPr>
              <a:t>PROFIT</a:t>
            </a:r>
          </a:p>
        </xdr:txBody>
      </xdr:sp>
      <xdr:sp macro="" textlink="'Convert onto table'!M12">
        <xdr:nvSpPr>
          <xdr:cNvPr id="28" name="TextBox 27">
            <a:extLst>
              <a:ext uri="{FF2B5EF4-FFF2-40B4-BE49-F238E27FC236}">
                <a16:creationId xmlns:a16="http://schemas.microsoft.com/office/drawing/2014/main" id="{43D6830E-8DCE-2275-0E71-B99A8C5EC12D}"/>
              </a:ext>
            </a:extLst>
          </xdr:cNvPr>
          <xdr:cNvSpPr txBox="1"/>
        </xdr:nvSpPr>
        <xdr:spPr>
          <a:xfrm>
            <a:off x="960120" y="1935480"/>
            <a:ext cx="1470660" cy="297180"/>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85BEAF-BDAE-4247-99DA-2789A91EFD1A}" type="TxLink">
              <a:rPr lang="en-US" sz="1800" b="1" i="0" u="none" strike="noStrike">
                <a:solidFill>
                  <a:schemeClr val="tx2">
                    <a:lumMod val="75000"/>
                    <a:lumOff val="25000"/>
                  </a:schemeClr>
                </a:solidFill>
                <a:latin typeface="Aptos Narrow"/>
              </a:rPr>
              <a:pPr algn="ctr"/>
              <a:t>3834400</a:t>
            </a:fld>
            <a:endParaRPr lang="en-IN" sz="3600" b="1">
              <a:solidFill>
                <a:schemeClr val="tx2">
                  <a:lumMod val="75000"/>
                  <a:lumOff val="25000"/>
                </a:schemeClr>
              </a:solidFill>
            </a:endParaRPr>
          </a:p>
        </xdr:txBody>
      </xdr:sp>
    </xdr:grpSp>
    <xdr:clientData/>
  </xdr:twoCellAnchor>
  <xdr:twoCellAnchor editAs="oneCell">
    <xdr:from>
      <xdr:col>0</xdr:col>
      <xdr:colOff>106680</xdr:colOff>
      <xdr:row>7</xdr:row>
      <xdr:rowOff>114300</xdr:rowOff>
    </xdr:from>
    <xdr:to>
      <xdr:col>1</xdr:col>
      <xdr:colOff>274320</xdr:colOff>
      <xdr:row>12</xdr:row>
      <xdr:rowOff>38100</xdr:rowOff>
    </xdr:to>
    <xdr:pic>
      <xdr:nvPicPr>
        <xdr:cNvPr id="43" name="Graphic 42" descr="Money with solid fill">
          <a:extLst>
            <a:ext uri="{FF2B5EF4-FFF2-40B4-BE49-F238E27FC236}">
              <a16:creationId xmlns:a16="http://schemas.microsoft.com/office/drawing/2014/main" id="{689A7E31-73A5-783D-B444-79D345E4C03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6680" y="1394460"/>
          <a:ext cx="777240" cy="838200"/>
        </a:xfrm>
        <a:prstGeom prst="rect">
          <a:avLst/>
        </a:prstGeom>
      </xdr:spPr>
    </xdr:pic>
    <xdr:clientData/>
  </xdr:twoCellAnchor>
  <xdr:twoCellAnchor editAs="oneCell">
    <xdr:from>
      <xdr:col>4</xdr:col>
      <xdr:colOff>477660</xdr:colOff>
      <xdr:row>8</xdr:row>
      <xdr:rowOff>45721</xdr:rowOff>
    </xdr:from>
    <xdr:to>
      <xdr:col>6</xdr:col>
      <xdr:colOff>143435</xdr:colOff>
      <xdr:row>12</xdr:row>
      <xdr:rowOff>7621</xdr:rowOff>
    </xdr:to>
    <xdr:pic>
      <xdr:nvPicPr>
        <xdr:cNvPr id="45" name="Graphic 44" descr="Coins with solid fill">
          <a:extLst>
            <a:ext uri="{FF2B5EF4-FFF2-40B4-BE49-F238E27FC236}">
              <a16:creationId xmlns:a16="http://schemas.microsoft.com/office/drawing/2014/main" id="{978E18C7-EB0F-238D-25F3-A3C112FBE56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16060" y="1480074"/>
          <a:ext cx="884975" cy="679076"/>
        </a:xfrm>
        <a:prstGeom prst="rect">
          <a:avLst/>
        </a:prstGeom>
      </xdr:spPr>
    </xdr:pic>
    <xdr:clientData/>
  </xdr:twoCellAnchor>
  <xdr:twoCellAnchor editAs="oneCell">
    <xdr:from>
      <xdr:col>9</xdr:col>
      <xdr:colOff>197225</xdr:colOff>
      <xdr:row>7</xdr:row>
      <xdr:rowOff>172864</xdr:rowOff>
    </xdr:from>
    <xdr:to>
      <xdr:col>10</xdr:col>
      <xdr:colOff>286871</xdr:colOff>
      <xdr:row>11</xdr:row>
      <xdr:rowOff>142735</xdr:rowOff>
    </xdr:to>
    <xdr:pic>
      <xdr:nvPicPr>
        <xdr:cNvPr id="52" name="Graphic 51" descr="Database with solid fill">
          <a:extLst>
            <a:ext uri="{FF2B5EF4-FFF2-40B4-BE49-F238E27FC236}">
              <a16:creationId xmlns:a16="http://schemas.microsoft.com/office/drawing/2014/main" id="{DEE8DBD3-6226-7910-236F-D1B8F3B911A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683625" y="1427923"/>
          <a:ext cx="699246" cy="687047"/>
        </a:xfrm>
        <a:prstGeom prst="rect">
          <a:avLst/>
        </a:prstGeom>
      </xdr:spPr>
    </xdr:pic>
    <xdr:clientData/>
  </xdr:twoCellAnchor>
  <xdr:twoCellAnchor editAs="oneCell">
    <xdr:from>
      <xdr:col>13</xdr:col>
      <xdr:colOff>325419</xdr:colOff>
      <xdr:row>7</xdr:row>
      <xdr:rowOff>125507</xdr:rowOff>
    </xdr:from>
    <xdr:to>
      <xdr:col>14</xdr:col>
      <xdr:colOff>484094</xdr:colOff>
      <xdr:row>11</xdr:row>
      <xdr:rowOff>160466</xdr:rowOff>
    </xdr:to>
    <xdr:pic>
      <xdr:nvPicPr>
        <xdr:cNvPr id="54" name="Graphic 53" descr="Business Growth with solid fill">
          <a:extLst>
            <a:ext uri="{FF2B5EF4-FFF2-40B4-BE49-F238E27FC236}">
              <a16:creationId xmlns:a16="http://schemas.microsoft.com/office/drawing/2014/main" id="{E0FD116D-08A9-A785-728C-AE99230DE87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250219" y="1380566"/>
          <a:ext cx="768275" cy="752135"/>
        </a:xfrm>
        <a:prstGeom prst="rect">
          <a:avLst/>
        </a:prstGeom>
      </xdr:spPr>
    </xdr:pic>
    <xdr:clientData/>
  </xdr:twoCellAnchor>
  <xdr:twoCellAnchor>
    <xdr:from>
      <xdr:col>0</xdr:col>
      <xdr:colOff>472441</xdr:colOff>
      <xdr:row>1</xdr:row>
      <xdr:rowOff>137160</xdr:rowOff>
    </xdr:from>
    <xdr:to>
      <xdr:col>20</xdr:col>
      <xdr:colOff>224118</xdr:colOff>
      <xdr:row>4</xdr:row>
      <xdr:rowOff>106680</xdr:rowOff>
    </xdr:to>
    <xdr:sp macro="" textlink="">
      <xdr:nvSpPr>
        <xdr:cNvPr id="55" name="TextBox 54">
          <a:extLst>
            <a:ext uri="{FF2B5EF4-FFF2-40B4-BE49-F238E27FC236}">
              <a16:creationId xmlns:a16="http://schemas.microsoft.com/office/drawing/2014/main" id="{831640A1-CA18-6F5B-9B65-682F0B5DBBC6}"/>
            </a:ext>
          </a:extLst>
        </xdr:cNvPr>
        <xdr:cNvSpPr txBox="1"/>
      </xdr:nvSpPr>
      <xdr:spPr>
        <a:xfrm>
          <a:off x="472441" y="316454"/>
          <a:ext cx="11943677" cy="507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000" b="1">
              <a:solidFill>
                <a:schemeClr val="bg1"/>
              </a:solidFill>
            </a:rPr>
            <a:t>Sales Dashboard </a:t>
          </a:r>
        </a:p>
      </xdr:txBody>
    </xdr:sp>
    <xdr:clientData/>
  </xdr:twoCellAnchor>
  <xdr:twoCellAnchor editAs="oneCell">
    <xdr:from>
      <xdr:col>0</xdr:col>
      <xdr:colOff>75304</xdr:colOff>
      <xdr:row>26</xdr:row>
      <xdr:rowOff>13895</xdr:rowOff>
    </xdr:from>
    <xdr:to>
      <xdr:col>3</xdr:col>
      <xdr:colOff>21964</xdr:colOff>
      <xdr:row>43</xdr:row>
      <xdr:rowOff>132229</xdr:rowOff>
    </xdr:to>
    <mc:AlternateContent xmlns:mc="http://schemas.openxmlformats.org/markup-compatibility/2006" xmlns:a14="http://schemas.microsoft.com/office/drawing/2010/main">
      <mc:Choice Requires="a14">
        <xdr:graphicFrame macro="">
          <xdr:nvGraphicFramePr>
            <xdr:cNvPr id="57" name="Sales Person 1">
              <a:extLst>
                <a:ext uri="{FF2B5EF4-FFF2-40B4-BE49-F238E27FC236}">
                  <a16:creationId xmlns:a16="http://schemas.microsoft.com/office/drawing/2014/main" id="{A2A62871-FF49-433B-88DB-9D607F120827}"/>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75304" y="4675542"/>
              <a:ext cx="1775460" cy="3166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12</xdr:row>
      <xdr:rowOff>109537</xdr:rowOff>
    </xdr:from>
    <xdr:to>
      <xdr:col>2</xdr:col>
      <xdr:colOff>586740</xdr:colOff>
      <xdr:row>25</xdr:row>
      <xdr:rowOff>91440</xdr:rowOff>
    </xdr:to>
    <mc:AlternateContent xmlns:mc="http://schemas.openxmlformats.org/markup-compatibility/2006" xmlns:a14="http://schemas.microsoft.com/office/drawing/2010/main">
      <mc:Choice Requires="a14">
        <xdr:graphicFrame macro="">
          <xdr:nvGraphicFramePr>
            <xdr:cNvPr id="58" name="Product 1">
              <a:extLst>
                <a:ext uri="{FF2B5EF4-FFF2-40B4-BE49-F238E27FC236}">
                  <a16:creationId xmlns:a16="http://schemas.microsoft.com/office/drawing/2014/main" id="{197C5056-8BB6-45FC-BAF6-3D9D32C52A7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5240" y="2261066"/>
              <a:ext cx="1790700" cy="2312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591672</xdr:colOff>
      <xdr:row>6</xdr:row>
      <xdr:rowOff>53787</xdr:rowOff>
    </xdr:from>
    <xdr:to>
      <xdr:col>20</xdr:col>
      <xdr:colOff>582706</xdr:colOff>
      <xdr:row>13</xdr:row>
      <xdr:rowOff>71717</xdr:rowOff>
    </xdr:to>
    <mc:AlternateContent xmlns:mc="http://schemas.openxmlformats.org/markup-compatibility/2006" xmlns:a14="http://schemas.microsoft.com/office/drawing/2010/main">
      <mc:Choice Requires="a14">
        <xdr:graphicFrame macro="">
          <xdr:nvGraphicFramePr>
            <xdr:cNvPr id="56" name="Region 1">
              <a:extLst>
                <a:ext uri="{FF2B5EF4-FFF2-40B4-BE49-F238E27FC236}">
                  <a16:creationId xmlns:a16="http://schemas.microsoft.com/office/drawing/2014/main" id="{CAB2FF06-B73C-4246-83CB-90C913B68D5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954872" y="1129552"/>
              <a:ext cx="1819834" cy="12729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22860</xdr:colOff>
      <xdr:row>13</xdr:row>
      <xdr:rowOff>119743</xdr:rowOff>
    </xdr:from>
    <xdr:to>
      <xdr:col>12</xdr:col>
      <xdr:colOff>315686</xdr:colOff>
      <xdr:row>28</xdr:row>
      <xdr:rowOff>76200</xdr:rowOff>
    </xdr:to>
    <xdr:sp macro="" textlink="">
      <xdr:nvSpPr>
        <xdr:cNvPr id="59" name="Rectangle: Rounded Corners 58">
          <a:extLst>
            <a:ext uri="{FF2B5EF4-FFF2-40B4-BE49-F238E27FC236}">
              <a16:creationId xmlns:a16="http://schemas.microsoft.com/office/drawing/2014/main" id="{68985BF5-0F20-CB8E-096D-864893450189}"/>
            </a:ext>
          </a:extLst>
        </xdr:cNvPr>
        <xdr:cNvSpPr/>
      </xdr:nvSpPr>
      <xdr:spPr>
        <a:xfrm>
          <a:off x="1851660" y="2525486"/>
          <a:ext cx="5779226" cy="2732314"/>
        </a:xfrm>
        <a:prstGeom prst="roundRect">
          <a:avLst/>
        </a:prstGeom>
        <a:no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342900</xdr:colOff>
      <xdr:row>13</xdr:row>
      <xdr:rowOff>174170</xdr:rowOff>
    </xdr:from>
    <xdr:to>
      <xdr:col>10</xdr:col>
      <xdr:colOff>434340</xdr:colOff>
      <xdr:row>15</xdr:row>
      <xdr:rowOff>7619</xdr:rowOff>
    </xdr:to>
    <xdr:sp macro="" textlink="">
      <xdr:nvSpPr>
        <xdr:cNvPr id="60" name="TextBox 59">
          <a:extLst>
            <a:ext uri="{FF2B5EF4-FFF2-40B4-BE49-F238E27FC236}">
              <a16:creationId xmlns:a16="http://schemas.microsoft.com/office/drawing/2014/main" id="{33F7D10F-2967-7EFD-CD81-DF2C1C33836D}"/>
            </a:ext>
          </a:extLst>
        </xdr:cNvPr>
        <xdr:cNvSpPr txBox="1"/>
      </xdr:nvSpPr>
      <xdr:spPr>
        <a:xfrm>
          <a:off x="2171700" y="2579913"/>
          <a:ext cx="4358640" cy="203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1"/>
              </a:solidFill>
            </a:rPr>
            <a:t>Units sold by</a:t>
          </a:r>
          <a:r>
            <a:rPr lang="en-IN" sz="1600" b="1" baseline="0">
              <a:solidFill>
                <a:schemeClr val="accent1"/>
              </a:solidFill>
            </a:rPr>
            <a:t> product </a:t>
          </a:r>
          <a:endParaRPr lang="en-IN" sz="1600" b="1">
            <a:solidFill>
              <a:schemeClr val="accent1"/>
            </a:solidFill>
          </a:endParaRPr>
        </a:p>
      </xdr:txBody>
    </xdr:sp>
    <xdr:clientData/>
  </xdr:twoCellAnchor>
  <xdr:twoCellAnchor>
    <xdr:from>
      <xdr:col>3</xdr:col>
      <xdr:colOff>144779</xdr:colOff>
      <xdr:row>15</xdr:row>
      <xdr:rowOff>0</xdr:rowOff>
    </xdr:from>
    <xdr:to>
      <xdr:col>12</xdr:col>
      <xdr:colOff>188259</xdr:colOff>
      <xdr:row>27</xdr:row>
      <xdr:rowOff>71718</xdr:rowOff>
    </xdr:to>
    <xdr:graphicFrame macro="">
      <xdr:nvGraphicFramePr>
        <xdr:cNvPr id="61" name="Chart 60">
          <a:extLst>
            <a:ext uri="{FF2B5EF4-FFF2-40B4-BE49-F238E27FC236}">
              <a16:creationId xmlns:a16="http://schemas.microsoft.com/office/drawing/2014/main" id="{397610B2-5622-4B43-BE8D-2B27FD925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480061</xdr:colOff>
      <xdr:row>13</xdr:row>
      <xdr:rowOff>119743</xdr:rowOff>
    </xdr:from>
    <xdr:to>
      <xdr:col>20</xdr:col>
      <xdr:colOff>600635</xdr:colOff>
      <xdr:row>28</xdr:row>
      <xdr:rowOff>91440</xdr:rowOff>
    </xdr:to>
    <xdr:sp macro="" textlink="">
      <xdr:nvSpPr>
        <xdr:cNvPr id="62" name="Rectangle: Rounded Corners 61">
          <a:extLst>
            <a:ext uri="{FF2B5EF4-FFF2-40B4-BE49-F238E27FC236}">
              <a16:creationId xmlns:a16="http://schemas.microsoft.com/office/drawing/2014/main" id="{8460F2C5-7E6C-BED0-6EC2-F2F5F9BC6EC2}"/>
            </a:ext>
          </a:extLst>
        </xdr:cNvPr>
        <xdr:cNvSpPr/>
      </xdr:nvSpPr>
      <xdr:spPr>
        <a:xfrm>
          <a:off x="7795261" y="2450567"/>
          <a:ext cx="4997374" cy="2661108"/>
        </a:xfrm>
        <a:prstGeom prst="roundRect">
          <a:avLst/>
        </a:prstGeom>
        <a:no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45720</xdr:colOff>
      <xdr:row>28</xdr:row>
      <xdr:rowOff>144780</xdr:rowOff>
    </xdr:from>
    <xdr:to>
      <xdr:col>11</xdr:col>
      <xdr:colOff>10886</xdr:colOff>
      <xdr:row>43</xdr:row>
      <xdr:rowOff>87086</xdr:rowOff>
    </xdr:to>
    <xdr:sp macro="" textlink="">
      <xdr:nvSpPr>
        <xdr:cNvPr id="63" name="Rectangle: Rounded Corners 62">
          <a:extLst>
            <a:ext uri="{FF2B5EF4-FFF2-40B4-BE49-F238E27FC236}">
              <a16:creationId xmlns:a16="http://schemas.microsoft.com/office/drawing/2014/main" id="{53752BF8-2F34-67D6-FA0F-8D7894DB4772}"/>
            </a:ext>
          </a:extLst>
        </xdr:cNvPr>
        <xdr:cNvSpPr/>
      </xdr:nvSpPr>
      <xdr:spPr>
        <a:xfrm>
          <a:off x="1874520" y="5326380"/>
          <a:ext cx="4841966" cy="2718163"/>
        </a:xfrm>
        <a:prstGeom prst="roundRect">
          <a:avLst/>
        </a:prstGeom>
        <a:no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195943</xdr:colOff>
      <xdr:row>28</xdr:row>
      <xdr:rowOff>144780</xdr:rowOff>
    </xdr:from>
    <xdr:to>
      <xdr:col>21</xdr:col>
      <xdr:colOff>0</xdr:colOff>
      <xdr:row>43</xdr:row>
      <xdr:rowOff>129540</xdr:rowOff>
    </xdr:to>
    <xdr:sp macro="" textlink="">
      <xdr:nvSpPr>
        <xdr:cNvPr id="65" name="Rectangle: Rounded Corners 64">
          <a:extLst>
            <a:ext uri="{FF2B5EF4-FFF2-40B4-BE49-F238E27FC236}">
              <a16:creationId xmlns:a16="http://schemas.microsoft.com/office/drawing/2014/main" id="{C2B04666-7010-8368-E974-E3B1F2C9DFA4}"/>
            </a:ext>
          </a:extLst>
        </xdr:cNvPr>
        <xdr:cNvSpPr/>
      </xdr:nvSpPr>
      <xdr:spPr>
        <a:xfrm>
          <a:off x="6901543" y="5165015"/>
          <a:ext cx="5900057" cy="2674172"/>
        </a:xfrm>
        <a:prstGeom prst="roundRect">
          <a:avLst/>
        </a:prstGeom>
        <a:no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152401</xdr:colOff>
      <xdr:row>15</xdr:row>
      <xdr:rowOff>35859</xdr:rowOff>
    </xdr:from>
    <xdr:to>
      <xdr:col>20</xdr:col>
      <xdr:colOff>331695</xdr:colOff>
      <xdr:row>27</xdr:row>
      <xdr:rowOff>71718</xdr:rowOff>
    </xdr:to>
    <xdr:graphicFrame macro="">
      <xdr:nvGraphicFramePr>
        <xdr:cNvPr id="66" name="Chart 65">
          <a:extLst>
            <a:ext uri="{FF2B5EF4-FFF2-40B4-BE49-F238E27FC236}">
              <a16:creationId xmlns:a16="http://schemas.microsoft.com/office/drawing/2014/main" id="{84952FE3-47D9-4AB4-86AE-8ABB6C9D5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439271</xdr:colOff>
      <xdr:row>14</xdr:row>
      <xdr:rowOff>2562</xdr:rowOff>
    </xdr:from>
    <xdr:to>
      <xdr:col>20</xdr:col>
      <xdr:colOff>484094</xdr:colOff>
      <xdr:row>15</xdr:row>
      <xdr:rowOff>83244</xdr:rowOff>
    </xdr:to>
    <xdr:sp macro="" textlink="">
      <xdr:nvSpPr>
        <xdr:cNvPr id="67" name="TextBox 66">
          <a:extLst>
            <a:ext uri="{FF2B5EF4-FFF2-40B4-BE49-F238E27FC236}">
              <a16:creationId xmlns:a16="http://schemas.microsoft.com/office/drawing/2014/main" id="{DA5216D0-9A36-80CA-A5F7-8401B9B232C9}"/>
            </a:ext>
          </a:extLst>
        </xdr:cNvPr>
        <xdr:cNvSpPr txBox="1"/>
      </xdr:nvSpPr>
      <xdr:spPr>
        <a:xfrm>
          <a:off x="8364071" y="2593362"/>
          <a:ext cx="4312023" cy="265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1"/>
              </a:solidFill>
            </a:rPr>
            <a:t>Total sales by</a:t>
          </a:r>
          <a:r>
            <a:rPr lang="en-IN" sz="1600" b="1" baseline="0">
              <a:solidFill>
                <a:schemeClr val="accent1"/>
              </a:solidFill>
            </a:rPr>
            <a:t> Region</a:t>
          </a:r>
          <a:endParaRPr lang="en-IN" sz="1600" b="1">
            <a:solidFill>
              <a:schemeClr val="accent1"/>
            </a:solidFill>
          </a:endParaRPr>
        </a:p>
      </xdr:txBody>
    </xdr:sp>
    <xdr:clientData/>
  </xdr:twoCellAnchor>
  <xdr:twoCellAnchor>
    <xdr:from>
      <xdr:col>3</xdr:col>
      <xdr:colOff>185057</xdr:colOff>
      <xdr:row>30</xdr:row>
      <xdr:rowOff>174171</xdr:rowOff>
    </xdr:from>
    <xdr:to>
      <xdr:col>10</xdr:col>
      <xdr:colOff>448235</xdr:colOff>
      <xdr:row>42</xdr:row>
      <xdr:rowOff>0</xdr:rowOff>
    </xdr:to>
    <xdr:graphicFrame macro="">
      <xdr:nvGraphicFramePr>
        <xdr:cNvPr id="69" name="Chart 68">
          <a:extLst>
            <a:ext uri="{FF2B5EF4-FFF2-40B4-BE49-F238E27FC236}">
              <a16:creationId xmlns:a16="http://schemas.microsoft.com/office/drawing/2014/main" id="{ADE235A9-7F36-4824-B178-56ED64C92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87086</xdr:colOff>
      <xdr:row>29</xdr:row>
      <xdr:rowOff>10885</xdr:rowOff>
    </xdr:from>
    <xdr:to>
      <xdr:col>10</xdr:col>
      <xdr:colOff>185058</xdr:colOff>
      <xdr:row>30</xdr:row>
      <xdr:rowOff>163285</xdr:rowOff>
    </xdr:to>
    <xdr:sp macro="" textlink="">
      <xdr:nvSpPr>
        <xdr:cNvPr id="70" name="TextBox 69">
          <a:extLst>
            <a:ext uri="{FF2B5EF4-FFF2-40B4-BE49-F238E27FC236}">
              <a16:creationId xmlns:a16="http://schemas.microsoft.com/office/drawing/2014/main" id="{1822CE55-A545-CE13-B9EC-F231E06811F5}"/>
            </a:ext>
          </a:extLst>
        </xdr:cNvPr>
        <xdr:cNvSpPr txBox="1"/>
      </xdr:nvSpPr>
      <xdr:spPr>
        <a:xfrm>
          <a:off x="2525486" y="5377542"/>
          <a:ext cx="3755572" cy="337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1"/>
              </a:solidFill>
            </a:rPr>
            <a:t>Total Sales</a:t>
          </a:r>
          <a:r>
            <a:rPr lang="en-IN" sz="1600" b="1" baseline="0">
              <a:solidFill>
                <a:schemeClr val="accent1"/>
              </a:solidFill>
            </a:rPr>
            <a:t> by Product</a:t>
          </a:r>
          <a:endParaRPr lang="en-IN" sz="1600" b="1">
            <a:solidFill>
              <a:schemeClr val="accent1"/>
            </a:solidFill>
          </a:endParaRPr>
        </a:p>
      </xdr:txBody>
    </xdr:sp>
    <xdr:clientData/>
  </xdr:twoCellAnchor>
  <xdr:twoCellAnchor>
    <xdr:from>
      <xdr:col>12</xdr:col>
      <xdr:colOff>391886</xdr:colOff>
      <xdr:row>28</xdr:row>
      <xdr:rowOff>174171</xdr:rowOff>
    </xdr:from>
    <xdr:to>
      <xdr:col>20</xdr:col>
      <xdr:colOff>326571</xdr:colOff>
      <xdr:row>30</xdr:row>
      <xdr:rowOff>76200</xdr:rowOff>
    </xdr:to>
    <xdr:sp macro="" textlink="">
      <xdr:nvSpPr>
        <xdr:cNvPr id="71" name="TextBox 70">
          <a:extLst>
            <a:ext uri="{FF2B5EF4-FFF2-40B4-BE49-F238E27FC236}">
              <a16:creationId xmlns:a16="http://schemas.microsoft.com/office/drawing/2014/main" id="{932AB0BE-A418-83A7-1A29-E26E93FA949A}"/>
            </a:ext>
          </a:extLst>
        </xdr:cNvPr>
        <xdr:cNvSpPr txBox="1"/>
      </xdr:nvSpPr>
      <xdr:spPr>
        <a:xfrm>
          <a:off x="7707086" y="5355771"/>
          <a:ext cx="4811485"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1"/>
              </a:solidFill>
            </a:rPr>
            <a:t>Total</a:t>
          </a:r>
          <a:r>
            <a:rPr lang="en-IN" sz="1600" b="1" baseline="0">
              <a:solidFill>
                <a:schemeClr val="accent1"/>
              </a:solidFill>
            </a:rPr>
            <a:t> Sales by Sales Person</a:t>
          </a:r>
          <a:endParaRPr lang="en-IN" sz="1600" b="1">
            <a:solidFill>
              <a:schemeClr val="accent1"/>
            </a:solidFill>
          </a:endParaRPr>
        </a:p>
      </xdr:txBody>
    </xdr:sp>
    <xdr:clientData/>
  </xdr:twoCellAnchor>
  <xdr:twoCellAnchor>
    <xdr:from>
      <xdr:col>11</xdr:col>
      <xdr:colOff>381001</xdr:colOff>
      <xdr:row>30</xdr:row>
      <xdr:rowOff>130629</xdr:rowOff>
    </xdr:from>
    <xdr:to>
      <xdr:col>20</xdr:col>
      <xdr:colOff>403412</xdr:colOff>
      <xdr:row>42</xdr:row>
      <xdr:rowOff>125506</xdr:rowOff>
    </xdr:to>
    <xdr:graphicFrame macro="">
      <xdr:nvGraphicFramePr>
        <xdr:cNvPr id="72" name="Chart 71">
          <a:extLst>
            <a:ext uri="{FF2B5EF4-FFF2-40B4-BE49-F238E27FC236}">
              <a16:creationId xmlns:a16="http://schemas.microsoft.com/office/drawing/2014/main" id="{2CF7A095-7FA3-46F6-8951-25DF549CA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kandan" refreshedDate="46057.534569560186" createdVersion="8" refreshedVersion="8" minRefreshableVersion="3" recordCount="50" xr:uid="{36270809-CE0A-452D-ADC5-6BDDBFE8AC13}">
  <cacheSource type="worksheet">
    <worksheetSource name="Table1"/>
  </cacheSource>
  <cacheFields count="9">
    <cacheField name="Date" numFmtId="0">
      <sharedItems containsDate="1" containsMixedTypes="1" minDate="2020-01-10T00:00:00" maxDate="2021-10-09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0">
      <sharedItems containsSemiMixedTypes="0" containsString="0" containsNumber="1" containsInteger="1" minValue="600" maxValue="10000"/>
    </cacheField>
    <cacheField name="Cost of Goods" numFmtId="0">
      <sharedItems containsSemiMixedTypes="0" containsString="0" containsNumber="1" containsInteger="1" minValue="400" maxValue="7000"/>
    </cacheField>
    <cacheField name="Total Sales" numFmtId="3">
      <sharedItems containsSemiMixedTypes="0" containsString="0" containsNumber="1" containsInteger="1" minValue="34200" maxValue="1270000" count="47">
        <n v="504000"/>
        <n v="448000"/>
        <n v="163200"/>
        <n v="91000"/>
        <n v="440000"/>
        <n v="61200"/>
        <n v="78000"/>
        <n v="876000"/>
        <n v="60600"/>
        <n v="312000"/>
        <n v="66000"/>
        <n v="137000"/>
        <n v="336000"/>
        <n v="208000"/>
        <n v="266000"/>
        <n v="580000"/>
        <n v="49800"/>
        <n v="1080000"/>
        <n v="576000"/>
        <n v="55200"/>
        <n v="426000"/>
        <n v="61800"/>
        <n v="55000"/>
        <n v="372000"/>
        <n v="85800"/>
        <n v="500500"/>
        <n v="59400"/>
        <n v="120000"/>
        <n v="231000"/>
        <n v="105600"/>
        <n v="1270000"/>
        <n v="268000"/>
        <n v="80400"/>
        <n v="149000"/>
        <n v="62400"/>
        <n v="34200"/>
        <n v="54000"/>
        <n v="40200"/>
        <n v="508000"/>
        <n v="108000"/>
        <n v="468000"/>
        <n v="69000"/>
        <n v="70800"/>
        <n v="65400"/>
        <n v="244000"/>
        <n v="210000"/>
        <n v="438000"/>
      </sharedItems>
    </cacheField>
    <cacheField name="Profit " numFmtId="0">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913003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2/19/2021"/>
    <x v="0"/>
    <x v="0"/>
    <x v="0"/>
    <n v="84"/>
    <n v="6000"/>
    <n v="4000"/>
    <x v="0"/>
    <n v="168000"/>
  </r>
  <r>
    <d v="2021-07-09T00:00:00"/>
    <x v="1"/>
    <x v="1"/>
    <x v="1"/>
    <n v="128"/>
    <n v="3500"/>
    <n v="2500"/>
    <x v="1"/>
    <n v="128000"/>
  </r>
  <r>
    <d v="2021-03-02T00:00:00"/>
    <x v="2"/>
    <x v="2"/>
    <x v="2"/>
    <n v="136"/>
    <n v="1200"/>
    <n v="800"/>
    <x v="2"/>
    <n v="54400"/>
  </r>
  <r>
    <d v="2020-11-09T00:00:00"/>
    <x v="3"/>
    <x v="3"/>
    <x v="3"/>
    <n v="91"/>
    <n v="1000"/>
    <n v="700"/>
    <x v="3"/>
    <n v="27300"/>
  </r>
  <r>
    <s v="9/23/2021"/>
    <x v="4"/>
    <x v="0"/>
    <x v="4"/>
    <n v="110"/>
    <n v="4000"/>
    <n v="3000"/>
    <x v="4"/>
    <n v="110000"/>
  </r>
  <r>
    <d v="2020-01-10T00:00:00"/>
    <x v="5"/>
    <x v="1"/>
    <x v="2"/>
    <n v="51"/>
    <n v="1200"/>
    <n v="800"/>
    <x v="5"/>
    <n v="20400"/>
  </r>
  <r>
    <d v="2021-05-08T00:00:00"/>
    <x v="6"/>
    <x v="3"/>
    <x v="3"/>
    <n v="78"/>
    <n v="1000"/>
    <n v="700"/>
    <x v="6"/>
    <n v="23400"/>
  </r>
  <r>
    <d v="2020-06-11T00:00:00"/>
    <x v="7"/>
    <x v="2"/>
    <x v="0"/>
    <n v="146"/>
    <n v="6000"/>
    <n v="4000"/>
    <x v="7"/>
    <n v="292000"/>
  </r>
  <r>
    <s v="1/27/2021"/>
    <x v="8"/>
    <x v="0"/>
    <x v="5"/>
    <n v="101"/>
    <n v="600"/>
    <n v="400"/>
    <x v="8"/>
    <n v="20200"/>
  </r>
  <r>
    <d v="2021-03-09T00:00:00"/>
    <x v="9"/>
    <x v="2"/>
    <x v="0"/>
    <n v="52"/>
    <n v="6000"/>
    <n v="4000"/>
    <x v="9"/>
    <n v="104000"/>
  </r>
  <r>
    <s v="9/30/2021"/>
    <x v="9"/>
    <x v="1"/>
    <x v="2"/>
    <n v="55"/>
    <n v="1200"/>
    <n v="800"/>
    <x v="10"/>
    <n v="22000"/>
  </r>
  <r>
    <d v="2020-10-09T00:00:00"/>
    <x v="9"/>
    <x v="2"/>
    <x v="3"/>
    <n v="137"/>
    <n v="1000"/>
    <n v="700"/>
    <x v="11"/>
    <n v="41100"/>
  </r>
  <r>
    <s v="7/27/2021"/>
    <x v="7"/>
    <x v="2"/>
    <x v="1"/>
    <n v="96"/>
    <n v="3500"/>
    <n v="2500"/>
    <x v="12"/>
    <n v="96000"/>
  </r>
  <r>
    <d v="2020-09-10T00:00:00"/>
    <x v="8"/>
    <x v="1"/>
    <x v="4"/>
    <n v="52"/>
    <n v="4000"/>
    <n v="3000"/>
    <x v="13"/>
    <n v="52000"/>
  </r>
  <r>
    <d v="2021-06-04T00:00:00"/>
    <x v="3"/>
    <x v="0"/>
    <x v="1"/>
    <n v="76"/>
    <n v="3500"/>
    <n v="2500"/>
    <x v="14"/>
    <n v="76000"/>
  </r>
  <r>
    <s v="6/15/2021"/>
    <x v="1"/>
    <x v="3"/>
    <x v="4"/>
    <n v="145"/>
    <n v="4000"/>
    <n v="3000"/>
    <x v="15"/>
    <n v="145000"/>
  </r>
  <r>
    <d v="2020-09-09T00:00:00"/>
    <x v="0"/>
    <x v="2"/>
    <x v="5"/>
    <n v="83"/>
    <n v="600"/>
    <n v="400"/>
    <x v="16"/>
    <n v="16600"/>
  </r>
  <r>
    <s v="8/13/2021"/>
    <x v="4"/>
    <x v="2"/>
    <x v="3"/>
    <n v="91"/>
    <n v="1000"/>
    <n v="700"/>
    <x v="3"/>
    <n v="27300"/>
  </r>
  <r>
    <s v="8/27/2020"/>
    <x v="5"/>
    <x v="0"/>
    <x v="6"/>
    <n v="108"/>
    <n v="10000"/>
    <n v="7000"/>
    <x v="17"/>
    <n v="324000"/>
  </r>
  <r>
    <d v="2021-07-04T00:00:00"/>
    <x v="2"/>
    <x v="3"/>
    <x v="4"/>
    <n v="144"/>
    <n v="4000"/>
    <n v="3000"/>
    <x v="18"/>
    <n v="144000"/>
  </r>
  <r>
    <d v="2020-08-06T00:00:00"/>
    <x v="4"/>
    <x v="2"/>
    <x v="5"/>
    <n v="92"/>
    <n v="600"/>
    <n v="400"/>
    <x v="19"/>
    <n v="18400"/>
  </r>
  <r>
    <s v="12/21/2021"/>
    <x v="7"/>
    <x v="0"/>
    <x v="0"/>
    <n v="71"/>
    <n v="6000"/>
    <n v="4000"/>
    <x v="20"/>
    <n v="142000"/>
  </r>
  <r>
    <d v="2021-10-08T00:00:00"/>
    <x v="0"/>
    <x v="1"/>
    <x v="5"/>
    <n v="103"/>
    <n v="600"/>
    <n v="400"/>
    <x v="21"/>
    <n v="20600"/>
  </r>
  <r>
    <d v="2021-02-12T00:00:00"/>
    <x v="9"/>
    <x v="3"/>
    <x v="3"/>
    <n v="55"/>
    <n v="1000"/>
    <n v="700"/>
    <x v="22"/>
    <n v="16500"/>
  </r>
  <r>
    <s v="8/30/2021"/>
    <x v="5"/>
    <x v="1"/>
    <x v="4"/>
    <n v="93"/>
    <n v="4000"/>
    <n v="3000"/>
    <x v="23"/>
    <n v="93000"/>
  </r>
  <r>
    <s v="5/20/2020"/>
    <x v="2"/>
    <x v="2"/>
    <x v="5"/>
    <n v="143"/>
    <n v="600"/>
    <n v="400"/>
    <x v="24"/>
    <n v="28600"/>
  </r>
  <r>
    <s v="9/13/2021"/>
    <x v="6"/>
    <x v="0"/>
    <x v="1"/>
    <n v="143"/>
    <n v="3500"/>
    <n v="2500"/>
    <x v="25"/>
    <n v="143000"/>
  </r>
  <r>
    <s v="10/27/2021"/>
    <x v="8"/>
    <x v="3"/>
    <x v="5"/>
    <n v="99"/>
    <n v="600"/>
    <n v="400"/>
    <x v="26"/>
    <n v="19800"/>
  </r>
  <r>
    <s v="12/22/2020"/>
    <x v="3"/>
    <x v="0"/>
    <x v="3"/>
    <n v="120"/>
    <n v="1000"/>
    <n v="700"/>
    <x v="27"/>
    <n v="36000"/>
  </r>
  <r>
    <s v="7/28/2021"/>
    <x v="1"/>
    <x v="2"/>
    <x v="1"/>
    <n v="66"/>
    <n v="3500"/>
    <n v="2500"/>
    <x v="28"/>
    <n v="66000"/>
  </r>
  <r>
    <s v="9/29/2020"/>
    <x v="8"/>
    <x v="3"/>
    <x v="2"/>
    <n v="88"/>
    <n v="1200"/>
    <n v="800"/>
    <x v="29"/>
    <n v="35200"/>
  </r>
  <r>
    <s v="10/22/2020"/>
    <x v="3"/>
    <x v="1"/>
    <x v="6"/>
    <n v="127"/>
    <n v="10000"/>
    <n v="7000"/>
    <x v="30"/>
    <n v="381000"/>
  </r>
  <r>
    <s v="5/19/2020"/>
    <x v="4"/>
    <x v="0"/>
    <x v="4"/>
    <n v="67"/>
    <n v="4000"/>
    <n v="3000"/>
    <x v="31"/>
    <n v="67000"/>
  </r>
  <r>
    <d v="2021-06-12T00:00:00"/>
    <x v="1"/>
    <x v="1"/>
    <x v="2"/>
    <n v="67"/>
    <n v="1200"/>
    <n v="800"/>
    <x v="32"/>
    <n v="26800"/>
  </r>
  <r>
    <s v="8/26/2020"/>
    <x v="9"/>
    <x v="2"/>
    <x v="3"/>
    <n v="149"/>
    <n v="1000"/>
    <n v="700"/>
    <x v="33"/>
    <n v="44700"/>
  </r>
  <r>
    <d v="2021-01-07T00:00:00"/>
    <x v="4"/>
    <x v="3"/>
    <x v="5"/>
    <n v="104"/>
    <n v="600"/>
    <n v="400"/>
    <x v="34"/>
    <n v="20800"/>
  </r>
  <r>
    <s v="7/27/2021"/>
    <x v="7"/>
    <x v="0"/>
    <x v="5"/>
    <n v="57"/>
    <n v="600"/>
    <n v="400"/>
    <x v="35"/>
    <n v="11400"/>
  </r>
  <r>
    <d v="2020-05-10T00:00:00"/>
    <x v="2"/>
    <x v="1"/>
    <x v="5"/>
    <n v="90"/>
    <n v="600"/>
    <n v="400"/>
    <x v="36"/>
    <n v="18000"/>
  </r>
  <r>
    <d v="2020-02-09T00:00:00"/>
    <x v="5"/>
    <x v="2"/>
    <x v="5"/>
    <n v="67"/>
    <n v="600"/>
    <n v="400"/>
    <x v="37"/>
    <n v="13400"/>
  </r>
  <r>
    <d v="2021-02-09T00:00:00"/>
    <x v="0"/>
    <x v="3"/>
    <x v="4"/>
    <n v="127"/>
    <n v="4000"/>
    <n v="3000"/>
    <x v="38"/>
    <n v="127000"/>
  </r>
  <r>
    <s v="4/13/2021"/>
    <x v="5"/>
    <x v="0"/>
    <x v="3"/>
    <n v="108"/>
    <n v="1000"/>
    <n v="700"/>
    <x v="39"/>
    <n v="32400"/>
  </r>
  <r>
    <d v="2021-06-05T00:00:00"/>
    <x v="2"/>
    <x v="1"/>
    <x v="1"/>
    <n v="66"/>
    <n v="3500"/>
    <n v="2500"/>
    <x v="28"/>
    <n v="66000"/>
  </r>
  <r>
    <s v="1/15/2021"/>
    <x v="0"/>
    <x v="3"/>
    <x v="0"/>
    <n v="78"/>
    <n v="6000"/>
    <n v="4000"/>
    <x v="40"/>
    <n v="156000"/>
  </r>
  <r>
    <s v="8/27/2020"/>
    <x v="7"/>
    <x v="2"/>
    <x v="3"/>
    <n v="69"/>
    <n v="1000"/>
    <n v="700"/>
    <x v="41"/>
    <n v="20700"/>
  </r>
  <r>
    <d v="2021-05-02T00:00:00"/>
    <x v="4"/>
    <x v="0"/>
    <x v="2"/>
    <n v="59"/>
    <n v="1200"/>
    <n v="800"/>
    <x v="42"/>
    <n v="23600"/>
  </r>
  <r>
    <s v="11/17/2021"/>
    <x v="9"/>
    <x v="2"/>
    <x v="5"/>
    <n v="109"/>
    <n v="600"/>
    <n v="400"/>
    <x v="43"/>
    <n v="21800"/>
  </r>
  <r>
    <s v="12/28/2020"/>
    <x v="8"/>
    <x v="1"/>
    <x v="4"/>
    <n v="61"/>
    <n v="4000"/>
    <n v="3000"/>
    <x v="44"/>
    <n v="61000"/>
  </r>
  <r>
    <s v="10/27/2021"/>
    <x v="4"/>
    <x v="3"/>
    <x v="5"/>
    <n v="130"/>
    <n v="600"/>
    <n v="400"/>
    <x v="6"/>
    <n v="26000"/>
  </r>
  <r>
    <d v="2021-02-11T00:00:00"/>
    <x v="3"/>
    <x v="2"/>
    <x v="1"/>
    <n v="60"/>
    <n v="3500"/>
    <n v="2500"/>
    <x v="45"/>
    <n v="60000"/>
  </r>
  <r>
    <d v="2020-07-05T00:00:00"/>
    <x v="1"/>
    <x v="1"/>
    <x v="0"/>
    <n v="73"/>
    <n v="6000"/>
    <n v="4000"/>
    <x v="46"/>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C4231B-7FB5-48F1-A318-63F8B857B6C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3:I14" firstHeaderRow="1" firstDataRow="1" firstDataCol="1"/>
  <pivotFields count="9">
    <pivotField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showAll="0"/>
    <pivotField showAll="0"/>
    <pivotField dataField="1" numFmtId="3" showAll="0">
      <items count="48">
        <item x="35"/>
        <item x="37"/>
        <item x="16"/>
        <item x="36"/>
        <item x="22"/>
        <item x="19"/>
        <item x="26"/>
        <item x="8"/>
        <item x="5"/>
        <item x="21"/>
        <item x="34"/>
        <item x="43"/>
        <item x="10"/>
        <item x="41"/>
        <item x="42"/>
        <item x="6"/>
        <item x="32"/>
        <item x="24"/>
        <item x="3"/>
        <item x="29"/>
        <item x="39"/>
        <item x="27"/>
        <item x="11"/>
        <item x="33"/>
        <item x="2"/>
        <item x="13"/>
        <item x="45"/>
        <item x="28"/>
        <item x="44"/>
        <item x="14"/>
        <item x="31"/>
        <item x="9"/>
        <item x="12"/>
        <item x="23"/>
        <item x="20"/>
        <item x="46"/>
        <item x="4"/>
        <item x="1"/>
        <item x="40"/>
        <item x="25"/>
        <item x="0"/>
        <item x="38"/>
        <item x="18"/>
        <item x="15"/>
        <item x="7"/>
        <item x="17"/>
        <item x="30"/>
        <item t="default"/>
      </items>
    </pivotField>
    <pivotField showAll="0"/>
  </pivotFields>
  <rowFields count="1">
    <field x="1"/>
  </rowFields>
  <rowItems count="11">
    <i>
      <x/>
    </i>
    <i>
      <x v="1"/>
    </i>
    <i>
      <x v="2"/>
    </i>
    <i>
      <x v="3"/>
    </i>
    <i>
      <x v="4"/>
    </i>
    <i>
      <x v="5"/>
    </i>
    <i>
      <x v="6"/>
    </i>
    <i>
      <x v="7"/>
    </i>
    <i>
      <x v="8"/>
    </i>
    <i>
      <x v="9"/>
    </i>
    <i t="grand">
      <x/>
    </i>
  </rowItems>
  <colItems count="1">
    <i/>
  </colItems>
  <dataFields count="1">
    <dataField name="Sum of Total Sales" fld="7" baseField="1" baseItem="1" numFmtId="164"/>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58EE1B-726A-4B3E-8635-E3FE4F34CA3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F11" firstHeaderRow="1" firstDataRow="1" firstDataCol="1"/>
  <pivotFields count="9">
    <pivotField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showAll="0"/>
    <pivotField showAll="0"/>
    <pivotField dataField="1" numFmtId="3" showAll="0">
      <items count="48">
        <item x="35"/>
        <item x="37"/>
        <item x="16"/>
        <item x="36"/>
        <item x="22"/>
        <item x="19"/>
        <item x="26"/>
        <item x="8"/>
        <item x="5"/>
        <item x="21"/>
        <item x="34"/>
        <item x="43"/>
        <item x="10"/>
        <item x="41"/>
        <item x="42"/>
        <item x="6"/>
        <item x="32"/>
        <item x="24"/>
        <item x="3"/>
        <item x="29"/>
        <item x="39"/>
        <item x="27"/>
        <item x="11"/>
        <item x="33"/>
        <item x="2"/>
        <item x="13"/>
        <item x="45"/>
        <item x="28"/>
        <item x="44"/>
        <item x="14"/>
        <item x="31"/>
        <item x="9"/>
        <item x="12"/>
        <item x="23"/>
        <item x="20"/>
        <item x="46"/>
        <item x="4"/>
        <item x="1"/>
        <item x="40"/>
        <item x="25"/>
        <item x="0"/>
        <item x="38"/>
        <item x="18"/>
        <item x="15"/>
        <item x="7"/>
        <item x="17"/>
        <item x="30"/>
        <item t="default"/>
      </items>
    </pivotField>
    <pivotField showAll="0"/>
  </pivotFields>
  <rowFields count="1">
    <field x="3"/>
  </rowFields>
  <rowItems count="8">
    <i>
      <x/>
    </i>
    <i>
      <x v="1"/>
    </i>
    <i>
      <x v="2"/>
    </i>
    <i>
      <x v="3"/>
    </i>
    <i>
      <x v="4"/>
    </i>
    <i>
      <x v="5"/>
    </i>
    <i>
      <x v="6"/>
    </i>
    <i t="grand">
      <x/>
    </i>
  </rowItems>
  <colItems count="1">
    <i/>
  </colItems>
  <dataFields count="1">
    <dataField name="Sum of Total Sales" fld="7" baseField="3" baseItem="0" numFmtId="164"/>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C8CB90-A63D-465B-B7F4-AA3C37D63BC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9">
    <pivotField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showAll="0"/>
    <pivotField showAll="0"/>
    <pivotField dataField="1" numFmtId="3" showAll="0">
      <items count="48">
        <item x="35"/>
        <item x="37"/>
        <item x="16"/>
        <item x="36"/>
        <item x="22"/>
        <item x="19"/>
        <item x="26"/>
        <item x="8"/>
        <item x="5"/>
        <item x="21"/>
        <item x="34"/>
        <item x="43"/>
        <item x="10"/>
        <item x="41"/>
        <item x="42"/>
        <item x="6"/>
        <item x="32"/>
        <item x="24"/>
        <item x="3"/>
        <item x="29"/>
        <item x="39"/>
        <item x="27"/>
        <item x="11"/>
        <item x="33"/>
        <item x="2"/>
        <item x="13"/>
        <item x="45"/>
        <item x="28"/>
        <item x="44"/>
        <item x="14"/>
        <item x="31"/>
        <item x="9"/>
        <item x="12"/>
        <item x="23"/>
        <item x="20"/>
        <item x="46"/>
        <item x="4"/>
        <item x="1"/>
        <item x="40"/>
        <item x="25"/>
        <item x="0"/>
        <item x="38"/>
        <item x="18"/>
        <item x="15"/>
        <item x="7"/>
        <item x="17"/>
        <item x="30"/>
        <item t="default"/>
      </items>
    </pivotField>
    <pivotField showAll="0"/>
  </pivotFields>
  <rowFields count="1">
    <field x="2"/>
  </rowFields>
  <rowItems count="5">
    <i>
      <x/>
    </i>
    <i>
      <x v="1"/>
    </i>
    <i>
      <x v="2"/>
    </i>
    <i>
      <x v="3"/>
    </i>
    <i t="grand">
      <x/>
    </i>
  </rowItems>
  <colItems count="1">
    <i/>
  </colItems>
  <dataFields count="1">
    <dataField name="Sum of Total Sales" fld="7" baseField="2" baseItem="0" numFmtId="164"/>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3"/>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 count="1" selected="0">
            <x v="0"/>
          </reference>
        </references>
      </pivotArea>
    </chartFormat>
    <chartFormat chart="4" format="12">
      <pivotArea type="data" outline="0" fieldPosition="0">
        <references count="2">
          <reference field="4294967294" count="1" selected="0">
            <x v="0"/>
          </reference>
          <reference field="2" count="1" selected="0">
            <x v="1"/>
          </reference>
        </references>
      </pivotArea>
    </chartFormat>
    <chartFormat chart="4" format="13">
      <pivotArea type="data" outline="0" fieldPosition="0">
        <references count="2">
          <reference field="4294967294" count="1" selected="0">
            <x v="0"/>
          </reference>
          <reference field="2" count="1" selected="0">
            <x v="2"/>
          </reference>
        </references>
      </pivotArea>
    </chartFormat>
    <chartFormat chart="4"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CA8016-7AFE-4D2B-82A5-830C723A512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L3:M11" firstHeaderRow="1" firstDataRow="1" firstDataCol="1"/>
  <pivotFields count="9">
    <pivotField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dataField="1" showAll="0"/>
    <pivotField showAll="0"/>
    <pivotField showAll="0"/>
    <pivotField numFmtId="3" showAll="0">
      <items count="48">
        <item x="35"/>
        <item x="37"/>
        <item x="16"/>
        <item x="36"/>
        <item x="22"/>
        <item x="19"/>
        <item x="26"/>
        <item x="8"/>
        <item x="5"/>
        <item x="21"/>
        <item x="34"/>
        <item x="43"/>
        <item x="10"/>
        <item x="41"/>
        <item x="42"/>
        <item x="6"/>
        <item x="32"/>
        <item x="24"/>
        <item x="3"/>
        <item x="29"/>
        <item x="39"/>
        <item x="27"/>
        <item x="11"/>
        <item x="33"/>
        <item x="2"/>
        <item x="13"/>
        <item x="45"/>
        <item x="28"/>
        <item x="44"/>
        <item x="14"/>
        <item x="31"/>
        <item x="9"/>
        <item x="12"/>
        <item x="23"/>
        <item x="20"/>
        <item x="46"/>
        <item x="4"/>
        <item x="1"/>
        <item x="40"/>
        <item x="25"/>
        <item x="0"/>
        <item x="38"/>
        <item x="18"/>
        <item x="15"/>
        <item x="7"/>
        <item x="17"/>
        <item x="30"/>
        <item t="default"/>
      </items>
    </pivotField>
    <pivotField showAll="0"/>
  </pivotFields>
  <rowFields count="1">
    <field x="3"/>
  </rowFields>
  <rowItems count="8">
    <i>
      <x/>
    </i>
    <i>
      <x v="1"/>
    </i>
    <i>
      <x v="2"/>
    </i>
    <i>
      <x v="3"/>
    </i>
    <i>
      <x v="4"/>
    </i>
    <i>
      <x v="5"/>
    </i>
    <i>
      <x v="6"/>
    </i>
    <i t="grand">
      <x/>
    </i>
  </rowItems>
  <colItems count="1">
    <i/>
  </colItems>
  <dataFields count="1">
    <dataField name="Sum of Units Sold" fld="4" baseField="0" baseItem="0"/>
  </dataFields>
  <chartFormats count="2">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91BB80EB-BF1E-4AC7-919C-7AD2C5094EC0}" sourceName="Sales Person">
  <pivotTables>
    <pivotTable tabId="3" name="PivotTable1"/>
    <pivotTable tabId="3" name="PivotTable2"/>
    <pivotTable tabId="3" name="PivotTable3"/>
    <pivotTable tabId="3" name="PivotTable4"/>
  </pivotTables>
  <data>
    <tabular pivotCacheId="91300335">
      <items count="10">
        <i x="0" s="1"/>
        <i x="8" s="1"/>
        <i x="3" s="1"/>
        <i x="5" s="1"/>
        <i x="7" s="1"/>
        <i x="2" s="1"/>
        <i x="1" s="1"/>
        <i x="4"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15171B-7D6F-4F86-8B6F-3827AE152E74}" sourceName="Region">
  <pivotTables>
    <pivotTable tabId="3" name="PivotTable1"/>
  </pivotTables>
  <data>
    <tabular pivotCacheId="91300335">
      <items count="4">
        <i x="1" s="1"/>
        <i x="3"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A6F3D5D-DBA3-49F2-ABD0-994D5E39451C}" sourceName="Product">
  <pivotTables>
    <pivotTable tabId="3" name="PivotTable1"/>
    <pivotTable tabId="3" name="PivotTable2"/>
    <pivotTable tabId="3" name="PivotTable3"/>
    <pivotTable tabId="3" name="PivotTable4"/>
  </pivotTables>
  <data>
    <tabular pivotCacheId="91300335">
      <items count="7">
        <i x="2" s="1"/>
        <i x="1" s="1"/>
        <i x="5" s="1"/>
        <i x="3" s="1"/>
        <i x="6"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D647A860-D055-403A-BB1D-CADFA3A2D667}" cache="Slicer_Sales_Person" caption="Sales Person" rowHeight="247650"/>
  <slicer name="Region" xr10:uid="{1110354E-A2AB-4DE6-BB50-9C7DA2109608}" cache="Slicer_Region" caption="Region" columnCount="2" showCaption="0" rowHeight="247650"/>
  <slicer name="Product" xr10:uid="{09476E8C-2DC6-4A31-BD7A-1A86ABD06881}" cache="Slicer_Product" caption="Produc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EACABF36-6E41-455F-A960-D713EAB83B90}" cache="Slicer_Sales_Person" caption="Sales Person" style="SlicerStyleDark1" rowHeight="247650"/>
  <slicer name="Region 1" xr10:uid="{4CB85572-7E78-4064-9CEC-405F97FB11B7}" cache="Slicer_Region" caption="Region" showCaption="0" style="SlicerStyleDark1" rowHeight="247650"/>
  <slicer name="Product 1" xr10:uid="{E4AD5070-A50A-4A8C-9D91-34DE074CCB52}" cache="Slicer_Product" caption="Product"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C37EAA-B1D3-4F74-8F7E-45ED6D3B253B}" name="Table1" displayName="Table1" ref="A1:I51" totalsRowShown="0" headerRowDxfId="12" dataDxfId="10" headerRowBorderDxfId="11" tableBorderDxfId="9">
  <autoFilter ref="A1:I51" xr:uid="{A9C37EAA-B1D3-4F74-8F7E-45ED6D3B253B}"/>
  <tableColumns count="9">
    <tableColumn id="1" xr3:uid="{273F03AA-4E2E-44DF-9F6D-6E3283AE19AF}" name="Date" dataDxfId="8"/>
    <tableColumn id="2" xr3:uid="{9D119CE0-1402-48AA-AD5D-5407D3C8D9E4}" name="Sales Person" dataDxfId="7"/>
    <tableColumn id="3" xr3:uid="{1046BB0B-4BB5-40C2-B08D-6B4F850FAF23}" name="Region" dataDxfId="6"/>
    <tableColumn id="4" xr3:uid="{64BB2141-B7A6-471A-B301-27B2FD92074E}" name="Product" dataDxfId="5"/>
    <tableColumn id="5" xr3:uid="{D7D0B7AF-E34B-436C-9A6E-94A14F8589B0}" name="Units Sold" dataDxfId="4"/>
    <tableColumn id="6" xr3:uid="{FC1AD5D2-020D-413F-A3B0-1082EE33098C}" name="Unit Price" dataDxfId="3"/>
    <tableColumn id="7" xr3:uid="{6388A330-9A80-4C57-8A6C-7A86115E2B09}" name="Cost of Goods" dataDxfId="2"/>
    <tableColumn id="8" xr3:uid="{3DF30AC6-3B4B-4E84-BE6D-2F48B957BC9E}" name="Total Sales" dataDxfId="1"/>
    <tableColumn id="9" xr3:uid="{299F32B5-70CB-44CF-9FEC-7D7C0E8291A6}" name="Profit " dataDxfId="0">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1E626-73A2-4B2E-B024-893CE221962B}">
  <dimension ref="A1:H51"/>
  <sheetViews>
    <sheetView workbookViewId="0">
      <selection activeCell="O18" sqref="O18"/>
    </sheetView>
  </sheetViews>
  <sheetFormatPr defaultRowHeight="14.4" x14ac:dyDescent="0.3"/>
  <cols>
    <col min="1" max="1" width="16.5546875" customWidth="1"/>
    <col min="2" max="2" width="12.88671875" customWidth="1"/>
    <col min="3" max="3" width="14" customWidth="1"/>
    <col min="4" max="4" width="13.21875" customWidth="1"/>
    <col min="5" max="5" width="12.88671875" customWidth="1"/>
    <col min="6" max="6" width="18.5546875" customWidth="1"/>
    <col min="7" max="7" width="18.6640625" customWidth="1"/>
    <col min="8" max="8" width="22.88671875" customWidth="1"/>
  </cols>
  <sheetData>
    <row r="1" spans="1:8" ht="15" thickBot="1" x14ac:dyDescent="0.35">
      <c r="A1" s="1" t="s">
        <v>0</v>
      </c>
      <c r="B1" s="1" t="s">
        <v>1</v>
      </c>
      <c r="C1" s="1" t="s">
        <v>2</v>
      </c>
      <c r="D1" s="1" t="s">
        <v>3</v>
      </c>
      <c r="E1" s="1" t="s">
        <v>4</v>
      </c>
      <c r="F1" s="1" t="s">
        <v>5</v>
      </c>
      <c r="G1" s="1" t="s">
        <v>6</v>
      </c>
      <c r="H1" s="1" t="s">
        <v>7</v>
      </c>
    </row>
    <row r="2" spans="1:8" ht="30" thickTop="1" thickBot="1" x14ac:dyDescent="0.35">
      <c r="A2" s="2" t="s">
        <v>8</v>
      </c>
      <c r="B2" s="3" t="s">
        <v>9</v>
      </c>
      <c r="C2" s="3" t="s">
        <v>10</v>
      </c>
      <c r="D2" s="3" t="s">
        <v>11</v>
      </c>
      <c r="E2" s="3">
        <v>84</v>
      </c>
      <c r="F2" s="4" t="s">
        <v>12</v>
      </c>
      <c r="G2" s="4" t="s">
        <v>13</v>
      </c>
      <c r="H2" s="4" t="s">
        <v>14</v>
      </c>
    </row>
    <row r="3" spans="1:8" ht="29.4" thickBot="1" x14ac:dyDescent="0.35">
      <c r="A3" s="5">
        <v>44386</v>
      </c>
      <c r="B3" s="3" t="s">
        <v>15</v>
      </c>
      <c r="C3" s="3" t="s">
        <v>16</v>
      </c>
      <c r="D3" s="3" t="s">
        <v>17</v>
      </c>
      <c r="E3" s="3">
        <v>128</v>
      </c>
      <c r="F3" s="4" t="s">
        <v>18</v>
      </c>
      <c r="G3" s="4" t="s">
        <v>19</v>
      </c>
      <c r="H3" s="4" t="s">
        <v>20</v>
      </c>
    </row>
    <row r="4" spans="1:8" ht="29.4" thickBot="1" x14ac:dyDescent="0.35">
      <c r="A4" s="5">
        <v>44257</v>
      </c>
      <c r="B4" s="3" t="s">
        <v>21</v>
      </c>
      <c r="C4" s="3" t="s">
        <v>22</v>
      </c>
      <c r="D4" s="3" t="s">
        <v>23</v>
      </c>
      <c r="E4" s="3">
        <v>136</v>
      </c>
      <c r="F4" s="4" t="s">
        <v>24</v>
      </c>
      <c r="G4" s="4" t="s">
        <v>25</v>
      </c>
      <c r="H4" s="4" t="s">
        <v>26</v>
      </c>
    </row>
    <row r="5" spans="1:8" ht="29.4" thickBot="1" x14ac:dyDescent="0.35">
      <c r="A5" s="5">
        <v>44144</v>
      </c>
      <c r="B5" s="3" t="s">
        <v>27</v>
      </c>
      <c r="C5" s="3" t="s">
        <v>28</v>
      </c>
      <c r="D5" s="3" t="s">
        <v>29</v>
      </c>
      <c r="E5" s="3">
        <v>91</v>
      </c>
      <c r="F5" s="4" t="s">
        <v>30</v>
      </c>
      <c r="G5" s="4" t="s">
        <v>31</v>
      </c>
      <c r="H5" s="4" t="s">
        <v>32</v>
      </c>
    </row>
    <row r="6" spans="1:8" ht="29.4" thickBot="1" x14ac:dyDescent="0.35">
      <c r="A6" s="2" t="s">
        <v>33</v>
      </c>
      <c r="B6" s="3" t="s">
        <v>34</v>
      </c>
      <c r="C6" s="3" t="s">
        <v>10</v>
      </c>
      <c r="D6" s="3" t="s">
        <v>35</v>
      </c>
      <c r="E6" s="3">
        <v>110</v>
      </c>
      <c r="F6" s="4" t="s">
        <v>13</v>
      </c>
      <c r="G6" s="4" t="s">
        <v>36</v>
      </c>
      <c r="H6" s="4" t="s">
        <v>37</v>
      </c>
    </row>
    <row r="7" spans="1:8" ht="29.4" thickBot="1" x14ac:dyDescent="0.35">
      <c r="A7" s="5">
        <v>43840</v>
      </c>
      <c r="B7" s="3" t="s">
        <v>38</v>
      </c>
      <c r="C7" s="3" t="s">
        <v>16</v>
      </c>
      <c r="D7" s="3" t="s">
        <v>23</v>
      </c>
      <c r="E7" s="3">
        <v>51</v>
      </c>
      <c r="F7" s="4" t="s">
        <v>24</v>
      </c>
      <c r="G7" s="4" t="s">
        <v>25</v>
      </c>
      <c r="H7" s="4" t="s">
        <v>39</v>
      </c>
    </row>
    <row r="8" spans="1:8" ht="29.4" thickBot="1" x14ac:dyDescent="0.35">
      <c r="A8" s="5">
        <v>44324</v>
      </c>
      <c r="B8" s="3" t="s">
        <v>40</v>
      </c>
      <c r="C8" s="3" t="s">
        <v>28</v>
      </c>
      <c r="D8" s="3" t="s">
        <v>29</v>
      </c>
      <c r="E8" s="3">
        <v>78</v>
      </c>
      <c r="F8" s="4" t="s">
        <v>30</v>
      </c>
      <c r="G8" s="4" t="s">
        <v>31</v>
      </c>
      <c r="H8" s="4" t="s">
        <v>41</v>
      </c>
    </row>
    <row r="9" spans="1:8" ht="29.4" thickBot="1" x14ac:dyDescent="0.35">
      <c r="A9" s="5">
        <v>43993</v>
      </c>
      <c r="B9" s="3" t="s">
        <v>42</v>
      </c>
      <c r="C9" s="3" t="s">
        <v>22</v>
      </c>
      <c r="D9" s="3" t="s">
        <v>11</v>
      </c>
      <c r="E9" s="3">
        <v>146</v>
      </c>
      <c r="F9" s="4" t="s">
        <v>12</v>
      </c>
      <c r="G9" s="4" t="s">
        <v>13</v>
      </c>
      <c r="H9" s="4" t="s">
        <v>43</v>
      </c>
    </row>
    <row r="10" spans="1:8" ht="29.4" thickBot="1" x14ac:dyDescent="0.35">
      <c r="A10" s="2" t="s">
        <v>44</v>
      </c>
      <c r="B10" s="3" t="s">
        <v>45</v>
      </c>
      <c r="C10" s="3" t="s">
        <v>10</v>
      </c>
      <c r="D10" s="3" t="s">
        <v>46</v>
      </c>
      <c r="E10" s="3">
        <v>101</v>
      </c>
      <c r="F10" s="4" t="s">
        <v>47</v>
      </c>
      <c r="G10" s="4" t="s">
        <v>48</v>
      </c>
      <c r="H10" s="4" t="s">
        <v>49</v>
      </c>
    </row>
    <row r="11" spans="1:8" ht="29.4" thickBot="1" x14ac:dyDescent="0.35">
      <c r="A11" s="5">
        <v>44264</v>
      </c>
      <c r="B11" s="3" t="s">
        <v>50</v>
      </c>
      <c r="C11" s="3" t="s">
        <v>22</v>
      </c>
      <c r="D11" s="3" t="s">
        <v>11</v>
      </c>
      <c r="E11" s="3">
        <v>52</v>
      </c>
      <c r="F11" s="4" t="s">
        <v>12</v>
      </c>
      <c r="G11" s="4" t="s">
        <v>13</v>
      </c>
      <c r="H11" s="4" t="s">
        <v>51</v>
      </c>
    </row>
    <row r="12" spans="1:8" ht="29.4" thickBot="1" x14ac:dyDescent="0.35">
      <c r="A12" s="2" t="s">
        <v>52</v>
      </c>
      <c r="B12" s="3" t="s">
        <v>50</v>
      </c>
      <c r="C12" s="3" t="s">
        <v>16</v>
      </c>
      <c r="D12" s="3" t="s">
        <v>23</v>
      </c>
      <c r="E12" s="3">
        <v>55</v>
      </c>
      <c r="F12" s="4" t="s">
        <v>24</v>
      </c>
      <c r="G12" s="4" t="s">
        <v>25</v>
      </c>
      <c r="H12" s="4" t="s">
        <v>53</v>
      </c>
    </row>
    <row r="13" spans="1:8" ht="29.4" thickBot="1" x14ac:dyDescent="0.35">
      <c r="A13" s="5">
        <v>44113</v>
      </c>
      <c r="B13" s="3" t="s">
        <v>50</v>
      </c>
      <c r="C13" s="3" t="s">
        <v>22</v>
      </c>
      <c r="D13" s="3" t="s">
        <v>29</v>
      </c>
      <c r="E13" s="3">
        <v>137</v>
      </c>
      <c r="F13" s="4" t="s">
        <v>30</v>
      </c>
      <c r="G13" s="4" t="s">
        <v>31</v>
      </c>
      <c r="H13" s="4" t="s">
        <v>54</v>
      </c>
    </row>
    <row r="14" spans="1:8" ht="15" thickBot="1" x14ac:dyDescent="0.35">
      <c r="A14" s="2" t="s">
        <v>55</v>
      </c>
      <c r="B14" s="3" t="s">
        <v>42</v>
      </c>
      <c r="C14" s="3" t="s">
        <v>22</v>
      </c>
      <c r="D14" s="3" t="s">
        <v>17</v>
      </c>
      <c r="E14" s="3">
        <v>96</v>
      </c>
      <c r="F14" s="4" t="s">
        <v>18</v>
      </c>
      <c r="G14" s="4" t="s">
        <v>19</v>
      </c>
      <c r="H14" s="4" t="s">
        <v>56</v>
      </c>
    </row>
    <row r="15" spans="1:8" ht="15" thickBot="1" x14ac:dyDescent="0.35">
      <c r="A15" s="5">
        <v>44084</v>
      </c>
      <c r="B15" s="3" t="s">
        <v>45</v>
      </c>
      <c r="C15" s="3" t="s">
        <v>16</v>
      </c>
      <c r="D15" s="3" t="s">
        <v>35</v>
      </c>
      <c r="E15" s="3">
        <v>52</v>
      </c>
      <c r="F15" s="4" t="s">
        <v>13</v>
      </c>
      <c r="G15" s="4" t="s">
        <v>36</v>
      </c>
      <c r="H15" s="4" t="s">
        <v>57</v>
      </c>
    </row>
    <row r="16" spans="1:8" ht="15" thickBot="1" x14ac:dyDescent="0.35">
      <c r="A16" s="5">
        <v>44351</v>
      </c>
      <c r="B16" s="3" t="s">
        <v>27</v>
      </c>
      <c r="C16" s="3" t="s">
        <v>10</v>
      </c>
      <c r="D16" s="3" t="s">
        <v>17</v>
      </c>
      <c r="E16" s="3">
        <v>76</v>
      </c>
      <c r="F16" s="4" t="s">
        <v>18</v>
      </c>
      <c r="G16" s="4" t="s">
        <v>19</v>
      </c>
      <c r="H16" s="4" t="s">
        <v>58</v>
      </c>
    </row>
    <row r="17" spans="1:8" ht="15" thickBot="1" x14ac:dyDescent="0.35">
      <c r="A17" s="2" t="s">
        <v>59</v>
      </c>
      <c r="B17" s="3" t="s">
        <v>15</v>
      </c>
      <c r="C17" s="3" t="s">
        <v>28</v>
      </c>
      <c r="D17" s="3" t="s">
        <v>35</v>
      </c>
      <c r="E17" s="3">
        <v>145</v>
      </c>
      <c r="F17" s="4" t="s">
        <v>13</v>
      </c>
      <c r="G17" s="4" t="s">
        <v>36</v>
      </c>
      <c r="H17" s="4" t="s">
        <v>60</v>
      </c>
    </row>
    <row r="18" spans="1:8" ht="15" thickBot="1" x14ac:dyDescent="0.35">
      <c r="A18" s="5">
        <v>44083</v>
      </c>
      <c r="B18" s="3" t="s">
        <v>9</v>
      </c>
      <c r="C18" s="3" t="s">
        <v>22</v>
      </c>
      <c r="D18" s="3" t="s">
        <v>46</v>
      </c>
      <c r="E18" s="3">
        <v>83</v>
      </c>
      <c r="F18" s="4" t="s">
        <v>47</v>
      </c>
      <c r="G18" s="4" t="s">
        <v>48</v>
      </c>
      <c r="H18" s="4" t="s">
        <v>61</v>
      </c>
    </row>
    <row r="19" spans="1:8" ht="15" thickBot="1" x14ac:dyDescent="0.35">
      <c r="A19" s="2" t="s">
        <v>62</v>
      </c>
      <c r="B19" s="3" t="s">
        <v>34</v>
      </c>
      <c r="C19" s="3" t="s">
        <v>22</v>
      </c>
      <c r="D19" s="3" t="s">
        <v>29</v>
      </c>
      <c r="E19" s="3">
        <v>91</v>
      </c>
      <c r="F19" s="4" t="s">
        <v>30</v>
      </c>
      <c r="G19" s="4" t="s">
        <v>31</v>
      </c>
      <c r="H19" s="4" t="s">
        <v>32</v>
      </c>
    </row>
    <row r="20" spans="1:8" ht="15" thickBot="1" x14ac:dyDescent="0.35">
      <c r="A20" s="2" t="s">
        <v>63</v>
      </c>
      <c r="B20" s="3" t="s">
        <v>38</v>
      </c>
      <c r="C20" s="3" t="s">
        <v>10</v>
      </c>
      <c r="D20" s="3" t="s">
        <v>64</v>
      </c>
      <c r="E20" s="3">
        <v>108</v>
      </c>
      <c r="F20" s="4" t="s">
        <v>65</v>
      </c>
      <c r="G20" s="4" t="s">
        <v>66</v>
      </c>
      <c r="H20" s="4" t="s">
        <v>67</v>
      </c>
    </row>
    <row r="21" spans="1:8" ht="15" thickBot="1" x14ac:dyDescent="0.35">
      <c r="A21" s="5">
        <v>44381</v>
      </c>
      <c r="B21" s="3" t="s">
        <v>21</v>
      </c>
      <c r="C21" s="3" t="s">
        <v>28</v>
      </c>
      <c r="D21" s="3" t="s">
        <v>35</v>
      </c>
      <c r="E21" s="3">
        <v>144</v>
      </c>
      <c r="F21" s="4" t="s">
        <v>13</v>
      </c>
      <c r="G21" s="4" t="s">
        <v>36</v>
      </c>
      <c r="H21" s="4" t="s">
        <v>68</v>
      </c>
    </row>
    <row r="22" spans="1:8" ht="15" thickBot="1" x14ac:dyDescent="0.35">
      <c r="A22" s="5">
        <v>44049</v>
      </c>
      <c r="B22" s="3" t="s">
        <v>34</v>
      </c>
      <c r="C22" s="3" t="s">
        <v>22</v>
      </c>
      <c r="D22" s="3" t="s">
        <v>46</v>
      </c>
      <c r="E22" s="3">
        <v>92</v>
      </c>
      <c r="F22" s="4" t="s">
        <v>47</v>
      </c>
      <c r="G22" s="4" t="s">
        <v>48</v>
      </c>
      <c r="H22" s="4" t="s">
        <v>69</v>
      </c>
    </row>
    <row r="23" spans="1:8" ht="15" thickBot="1" x14ac:dyDescent="0.35">
      <c r="A23" s="2" t="s">
        <v>70</v>
      </c>
      <c r="B23" s="3" t="s">
        <v>42</v>
      </c>
      <c r="C23" s="3" t="s">
        <v>10</v>
      </c>
      <c r="D23" s="3" t="s">
        <v>11</v>
      </c>
      <c r="E23" s="3">
        <v>71</v>
      </c>
      <c r="F23" s="4" t="s">
        <v>12</v>
      </c>
      <c r="G23" s="4" t="s">
        <v>13</v>
      </c>
      <c r="H23" s="4" t="s">
        <v>71</v>
      </c>
    </row>
    <row r="24" spans="1:8" ht="15" thickBot="1" x14ac:dyDescent="0.35">
      <c r="A24" s="5">
        <v>44477</v>
      </c>
      <c r="B24" s="3" t="s">
        <v>9</v>
      </c>
      <c r="C24" s="3" t="s">
        <v>16</v>
      </c>
      <c r="D24" s="3" t="s">
        <v>46</v>
      </c>
      <c r="E24" s="3">
        <v>103</v>
      </c>
      <c r="F24" s="4" t="s">
        <v>47</v>
      </c>
      <c r="G24" s="4" t="s">
        <v>48</v>
      </c>
      <c r="H24" s="4" t="s">
        <v>72</v>
      </c>
    </row>
    <row r="25" spans="1:8" ht="15" thickBot="1" x14ac:dyDescent="0.35">
      <c r="A25" s="5">
        <v>44239</v>
      </c>
      <c r="B25" s="3" t="s">
        <v>50</v>
      </c>
      <c r="C25" s="3" t="s">
        <v>28</v>
      </c>
      <c r="D25" s="3" t="s">
        <v>29</v>
      </c>
      <c r="E25" s="3">
        <v>55</v>
      </c>
      <c r="F25" s="4" t="s">
        <v>30</v>
      </c>
      <c r="G25" s="4" t="s">
        <v>31</v>
      </c>
      <c r="H25" s="4" t="s">
        <v>73</v>
      </c>
    </row>
    <row r="26" spans="1:8" ht="15" thickBot="1" x14ac:dyDescent="0.35">
      <c r="A26" s="2" t="s">
        <v>74</v>
      </c>
      <c r="B26" s="3" t="s">
        <v>38</v>
      </c>
      <c r="C26" s="3" t="s">
        <v>16</v>
      </c>
      <c r="D26" s="3" t="s">
        <v>35</v>
      </c>
      <c r="E26" s="3">
        <v>93</v>
      </c>
      <c r="F26" s="4" t="s">
        <v>13</v>
      </c>
      <c r="G26" s="4" t="s">
        <v>36</v>
      </c>
      <c r="H26" s="4" t="s">
        <v>75</v>
      </c>
    </row>
    <row r="27" spans="1:8" ht="15" thickBot="1" x14ac:dyDescent="0.35">
      <c r="A27" s="2" t="s">
        <v>76</v>
      </c>
      <c r="B27" s="3" t="s">
        <v>21</v>
      </c>
      <c r="C27" s="3" t="s">
        <v>22</v>
      </c>
      <c r="D27" s="3" t="s">
        <v>46</v>
      </c>
      <c r="E27" s="3">
        <v>143</v>
      </c>
      <c r="F27" s="4" t="s">
        <v>47</v>
      </c>
      <c r="G27" s="4" t="s">
        <v>48</v>
      </c>
      <c r="H27" s="4" t="s">
        <v>77</v>
      </c>
    </row>
    <row r="28" spans="1:8" ht="15" thickBot="1" x14ac:dyDescent="0.35">
      <c r="A28" s="2" t="s">
        <v>78</v>
      </c>
      <c r="B28" s="3" t="s">
        <v>40</v>
      </c>
      <c r="C28" s="3" t="s">
        <v>10</v>
      </c>
      <c r="D28" s="3" t="s">
        <v>17</v>
      </c>
      <c r="E28" s="3">
        <v>143</v>
      </c>
      <c r="F28" s="4" t="s">
        <v>18</v>
      </c>
      <c r="G28" s="4" t="s">
        <v>19</v>
      </c>
      <c r="H28" s="4" t="s">
        <v>79</v>
      </c>
    </row>
    <row r="29" spans="1:8" ht="15" thickBot="1" x14ac:dyDescent="0.35">
      <c r="A29" s="2" t="s">
        <v>80</v>
      </c>
      <c r="B29" s="3" t="s">
        <v>45</v>
      </c>
      <c r="C29" s="3" t="s">
        <v>28</v>
      </c>
      <c r="D29" s="3" t="s">
        <v>46</v>
      </c>
      <c r="E29" s="3">
        <v>99</v>
      </c>
      <c r="F29" s="4" t="s">
        <v>47</v>
      </c>
      <c r="G29" s="4" t="s">
        <v>48</v>
      </c>
      <c r="H29" s="4" t="s">
        <v>81</v>
      </c>
    </row>
    <row r="30" spans="1:8" ht="15" thickBot="1" x14ac:dyDescent="0.35">
      <c r="A30" s="2" t="s">
        <v>82</v>
      </c>
      <c r="B30" s="3" t="s">
        <v>27</v>
      </c>
      <c r="C30" s="3" t="s">
        <v>10</v>
      </c>
      <c r="D30" s="3" t="s">
        <v>29</v>
      </c>
      <c r="E30" s="3">
        <v>120</v>
      </c>
      <c r="F30" s="4" t="s">
        <v>30</v>
      </c>
      <c r="G30" s="4" t="s">
        <v>31</v>
      </c>
      <c r="H30" s="4" t="s">
        <v>83</v>
      </c>
    </row>
    <row r="31" spans="1:8" ht="15" thickBot="1" x14ac:dyDescent="0.35">
      <c r="A31" s="2" t="s">
        <v>84</v>
      </c>
      <c r="B31" s="3" t="s">
        <v>15</v>
      </c>
      <c r="C31" s="3" t="s">
        <v>22</v>
      </c>
      <c r="D31" s="3" t="s">
        <v>17</v>
      </c>
      <c r="E31" s="3">
        <v>66</v>
      </c>
      <c r="F31" s="4" t="s">
        <v>18</v>
      </c>
      <c r="G31" s="4" t="s">
        <v>19</v>
      </c>
      <c r="H31" s="4" t="s">
        <v>85</v>
      </c>
    </row>
    <row r="32" spans="1:8" ht="15" thickBot="1" x14ac:dyDescent="0.35">
      <c r="A32" s="2" t="s">
        <v>86</v>
      </c>
      <c r="B32" s="3" t="s">
        <v>45</v>
      </c>
      <c r="C32" s="3" t="s">
        <v>28</v>
      </c>
      <c r="D32" s="3" t="s">
        <v>23</v>
      </c>
      <c r="E32" s="3">
        <v>88</v>
      </c>
      <c r="F32" s="4" t="s">
        <v>24</v>
      </c>
      <c r="G32" s="4" t="s">
        <v>25</v>
      </c>
      <c r="H32" s="4" t="s">
        <v>87</v>
      </c>
    </row>
    <row r="33" spans="1:8" ht="15" thickBot="1" x14ac:dyDescent="0.35">
      <c r="A33" s="2" t="s">
        <v>88</v>
      </c>
      <c r="B33" s="3" t="s">
        <v>27</v>
      </c>
      <c r="C33" s="3" t="s">
        <v>16</v>
      </c>
      <c r="D33" s="3" t="s">
        <v>64</v>
      </c>
      <c r="E33" s="3">
        <v>127</v>
      </c>
      <c r="F33" s="4" t="s">
        <v>65</v>
      </c>
      <c r="G33" s="4" t="s">
        <v>66</v>
      </c>
      <c r="H33" s="4" t="s">
        <v>89</v>
      </c>
    </row>
    <row r="34" spans="1:8" ht="15" thickBot="1" x14ac:dyDescent="0.35">
      <c r="A34" s="2" t="s">
        <v>90</v>
      </c>
      <c r="B34" s="3" t="s">
        <v>34</v>
      </c>
      <c r="C34" s="3" t="s">
        <v>10</v>
      </c>
      <c r="D34" s="3" t="s">
        <v>35</v>
      </c>
      <c r="E34" s="3">
        <v>67</v>
      </c>
      <c r="F34" s="4" t="s">
        <v>13</v>
      </c>
      <c r="G34" s="4" t="s">
        <v>36</v>
      </c>
      <c r="H34" s="4" t="s">
        <v>91</v>
      </c>
    </row>
    <row r="35" spans="1:8" ht="15" thickBot="1" x14ac:dyDescent="0.35">
      <c r="A35" s="5">
        <v>44359</v>
      </c>
      <c r="B35" s="3" t="s">
        <v>15</v>
      </c>
      <c r="C35" s="3" t="s">
        <v>16</v>
      </c>
      <c r="D35" s="3" t="s">
        <v>23</v>
      </c>
      <c r="E35" s="3">
        <v>67</v>
      </c>
      <c r="F35" s="4" t="s">
        <v>24</v>
      </c>
      <c r="G35" s="4" t="s">
        <v>25</v>
      </c>
      <c r="H35" s="4" t="s">
        <v>92</v>
      </c>
    </row>
    <row r="36" spans="1:8" ht="15" thickBot="1" x14ac:dyDescent="0.35">
      <c r="A36" s="2" t="s">
        <v>93</v>
      </c>
      <c r="B36" s="3" t="s">
        <v>50</v>
      </c>
      <c r="C36" s="3" t="s">
        <v>22</v>
      </c>
      <c r="D36" s="3" t="s">
        <v>29</v>
      </c>
      <c r="E36" s="3">
        <v>149</v>
      </c>
      <c r="F36" s="4" t="s">
        <v>30</v>
      </c>
      <c r="G36" s="4" t="s">
        <v>31</v>
      </c>
      <c r="H36" s="4" t="s">
        <v>94</v>
      </c>
    </row>
    <row r="37" spans="1:8" ht="15" thickBot="1" x14ac:dyDescent="0.35">
      <c r="A37" s="5">
        <v>44203</v>
      </c>
      <c r="B37" s="3" t="s">
        <v>34</v>
      </c>
      <c r="C37" s="3" t="s">
        <v>28</v>
      </c>
      <c r="D37" s="3" t="s">
        <v>46</v>
      </c>
      <c r="E37" s="3">
        <v>104</v>
      </c>
      <c r="F37" s="4" t="s">
        <v>47</v>
      </c>
      <c r="G37" s="4" t="s">
        <v>48</v>
      </c>
      <c r="H37" s="4" t="s">
        <v>95</v>
      </c>
    </row>
    <row r="38" spans="1:8" ht="15" thickBot="1" x14ac:dyDescent="0.35">
      <c r="A38" s="2" t="s">
        <v>55</v>
      </c>
      <c r="B38" s="3" t="s">
        <v>42</v>
      </c>
      <c r="C38" s="3" t="s">
        <v>10</v>
      </c>
      <c r="D38" s="3" t="s">
        <v>46</v>
      </c>
      <c r="E38" s="3">
        <v>57</v>
      </c>
      <c r="F38" s="4" t="s">
        <v>47</v>
      </c>
      <c r="G38" s="4" t="s">
        <v>48</v>
      </c>
      <c r="H38" s="4" t="s">
        <v>96</v>
      </c>
    </row>
    <row r="39" spans="1:8" ht="15" thickBot="1" x14ac:dyDescent="0.35">
      <c r="A39" s="5">
        <v>43961</v>
      </c>
      <c r="B39" s="3" t="s">
        <v>21</v>
      </c>
      <c r="C39" s="3" t="s">
        <v>16</v>
      </c>
      <c r="D39" s="3" t="s">
        <v>46</v>
      </c>
      <c r="E39" s="3">
        <v>90</v>
      </c>
      <c r="F39" s="4" t="s">
        <v>47</v>
      </c>
      <c r="G39" s="4" t="s">
        <v>48</v>
      </c>
      <c r="H39" s="4" t="s">
        <v>97</v>
      </c>
    </row>
    <row r="40" spans="1:8" ht="15" thickBot="1" x14ac:dyDescent="0.35">
      <c r="A40" s="5">
        <v>43870</v>
      </c>
      <c r="B40" s="3" t="s">
        <v>38</v>
      </c>
      <c r="C40" s="3" t="s">
        <v>22</v>
      </c>
      <c r="D40" s="3" t="s">
        <v>46</v>
      </c>
      <c r="E40" s="3">
        <v>67</v>
      </c>
      <c r="F40" s="4" t="s">
        <v>47</v>
      </c>
      <c r="G40" s="4" t="s">
        <v>48</v>
      </c>
      <c r="H40" s="4" t="s">
        <v>98</v>
      </c>
    </row>
    <row r="41" spans="1:8" ht="15" thickBot="1" x14ac:dyDescent="0.35">
      <c r="A41" s="5">
        <v>44236</v>
      </c>
      <c r="B41" s="3" t="s">
        <v>9</v>
      </c>
      <c r="C41" s="3" t="s">
        <v>28</v>
      </c>
      <c r="D41" s="3" t="s">
        <v>35</v>
      </c>
      <c r="E41" s="3">
        <v>127</v>
      </c>
      <c r="F41" s="4" t="s">
        <v>13</v>
      </c>
      <c r="G41" s="4" t="s">
        <v>36</v>
      </c>
      <c r="H41" s="4" t="s">
        <v>99</v>
      </c>
    </row>
    <row r="42" spans="1:8" ht="15" thickBot="1" x14ac:dyDescent="0.35">
      <c r="A42" s="2" t="s">
        <v>100</v>
      </c>
      <c r="B42" s="3" t="s">
        <v>38</v>
      </c>
      <c r="C42" s="3" t="s">
        <v>10</v>
      </c>
      <c r="D42" s="3" t="s">
        <v>29</v>
      </c>
      <c r="E42" s="3">
        <v>108</v>
      </c>
      <c r="F42" s="4" t="s">
        <v>30</v>
      </c>
      <c r="G42" s="4" t="s">
        <v>31</v>
      </c>
      <c r="H42" s="4" t="s">
        <v>101</v>
      </c>
    </row>
    <row r="43" spans="1:8" ht="15" thickBot="1" x14ac:dyDescent="0.35">
      <c r="A43" s="5">
        <v>44352</v>
      </c>
      <c r="B43" s="3" t="s">
        <v>21</v>
      </c>
      <c r="C43" s="3" t="s">
        <v>16</v>
      </c>
      <c r="D43" s="3" t="s">
        <v>17</v>
      </c>
      <c r="E43" s="3">
        <v>66</v>
      </c>
      <c r="F43" s="4" t="s">
        <v>18</v>
      </c>
      <c r="G43" s="4" t="s">
        <v>19</v>
      </c>
      <c r="H43" s="4" t="s">
        <v>85</v>
      </c>
    </row>
    <row r="44" spans="1:8" ht="15" thickBot="1" x14ac:dyDescent="0.35">
      <c r="A44" s="2" t="s">
        <v>102</v>
      </c>
      <c r="B44" s="3" t="s">
        <v>9</v>
      </c>
      <c r="C44" s="3" t="s">
        <v>28</v>
      </c>
      <c r="D44" s="3" t="s">
        <v>11</v>
      </c>
      <c r="E44" s="3">
        <v>78</v>
      </c>
      <c r="F44" s="4" t="s">
        <v>12</v>
      </c>
      <c r="G44" s="4" t="s">
        <v>13</v>
      </c>
      <c r="H44" s="4" t="s">
        <v>103</v>
      </c>
    </row>
    <row r="45" spans="1:8" ht="15" thickBot="1" x14ac:dyDescent="0.35">
      <c r="A45" s="2" t="s">
        <v>63</v>
      </c>
      <c r="B45" s="3" t="s">
        <v>42</v>
      </c>
      <c r="C45" s="3" t="s">
        <v>22</v>
      </c>
      <c r="D45" s="3" t="s">
        <v>29</v>
      </c>
      <c r="E45" s="3">
        <v>69</v>
      </c>
      <c r="F45" s="4" t="s">
        <v>30</v>
      </c>
      <c r="G45" s="4" t="s">
        <v>31</v>
      </c>
      <c r="H45" s="4" t="s">
        <v>104</v>
      </c>
    </row>
    <row r="46" spans="1:8" ht="15" thickBot="1" x14ac:dyDescent="0.35">
      <c r="A46" s="5">
        <v>44318</v>
      </c>
      <c r="B46" s="3" t="s">
        <v>34</v>
      </c>
      <c r="C46" s="3" t="s">
        <v>10</v>
      </c>
      <c r="D46" s="3" t="s">
        <v>23</v>
      </c>
      <c r="E46" s="3">
        <v>59</v>
      </c>
      <c r="F46" s="4" t="s">
        <v>24</v>
      </c>
      <c r="G46" s="4" t="s">
        <v>25</v>
      </c>
      <c r="H46" s="4" t="s">
        <v>105</v>
      </c>
    </row>
    <row r="47" spans="1:8" ht="15" thickBot="1" x14ac:dyDescent="0.35">
      <c r="A47" s="2" t="s">
        <v>106</v>
      </c>
      <c r="B47" s="3" t="s">
        <v>50</v>
      </c>
      <c r="C47" s="3" t="s">
        <v>22</v>
      </c>
      <c r="D47" s="3" t="s">
        <v>46</v>
      </c>
      <c r="E47" s="3">
        <v>109</v>
      </c>
      <c r="F47" s="4" t="s">
        <v>47</v>
      </c>
      <c r="G47" s="4" t="s">
        <v>48</v>
      </c>
      <c r="H47" s="4" t="s">
        <v>107</v>
      </c>
    </row>
    <row r="48" spans="1:8" ht="15" thickBot="1" x14ac:dyDescent="0.35">
      <c r="A48" s="2" t="s">
        <v>108</v>
      </c>
      <c r="B48" s="3" t="s">
        <v>45</v>
      </c>
      <c r="C48" s="3" t="s">
        <v>16</v>
      </c>
      <c r="D48" s="3" t="s">
        <v>35</v>
      </c>
      <c r="E48" s="3">
        <v>61</v>
      </c>
      <c r="F48" s="4" t="s">
        <v>13</v>
      </c>
      <c r="G48" s="4" t="s">
        <v>36</v>
      </c>
      <c r="H48" s="4" t="s">
        <v>109</v>
      </c>
    </row>
    <row r="49" spans="1:8" ht="15" thickBot="1" x14ac:dyDescent="0.35">
      <c r="A49" s="2" t="s">
        <v>80</v>
      </c>
      <c r="B49" s="3" t="s">
        <v>34</v>
      </c>
      <c r="C49" s="3" t="s">
        <v>28</v>
      </c>
      <c r="D49" s="3" t="s">
        <v>46</v>
      </c>
      <c r="E49" s="3">
        <v>130</v>
      </c>
      <c r="F49" s="4" t="s">
        <v>47</v>
      </c>
      <c r="G49" s="4" t="s">
        <v>48</v>
      </c>
      <c r="H49" s="4" t="s">
        <v>41</v>
      </c>
    </row>
    <row r="50" spans="1:8" ht="15" thickBot="1" x14ac:dyDescent="0.35">
      <c r="A50" s="5">
        <v>44238</v>
      </c>
      <c r="B50" s="3" t="s">
        <v>27</v>
      </c>
      <c r="C50" s="3" t="s">
        <v>22</v>
      </c>
      <c r="D50" s="3" t="s">
        <v>17</v>
      </c>
      <c r="E50" s="3">
        <v>60</v>
      </c>
      <c r="F50" s="4" t="s">
        <v>18</v>
      </c>
      <c r="G50" s="4" t="s">
        <v>19</v>
      </c>
      <c r="H50" s="4" t="s">
        <v>110</v>
      </c>
    </row>
    <row r="51" spans="1:8" ht="15" thickBot="1" x14ac:dyDescent="0.35">
      <c r="A51" s="5">
        <v>44017</v>
      </c>
      <c r="B51" s="3" t="s">
        <v>15</v>
      </c>
      <c r="C51" s="3" t="s">
        <v>16</v>
      </c>
      <c r="D51" s="3" t="s">
        <v>11</v>
      </c>
      <c r="E51" s="3">
        <v>73</v>
      </c>
      <c r="F51" s="4" t="s">
        <v>12</v>
      </c>
      <c r="G51" s="4" t="s">
        <v>13</v>
      </c>
      <c r="H51" s="4" t="s">
        <v>111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8A5BF-F381-4F52-9AFD-BB53282CD9F4}">
  <dimension ref="A3:M14"/>
  <sheetViews>
    <sheetView topLeftCell="A4" zoomScale="96" zoomScaleNormal="96" workbookViewId="0">
      <selection activeCell="L23" sqref="L23"/>
    </sheetView>
  </sheetViews>
  <sheetFormatPr defaultRowHeight="14.4" x14ac:dyDescent="0.3"/>
  <cols>
    <col min="1" max="1" width="13" bestFit="1" customWidth="1"/>
    <col min="2" max="2" width="16.77734375" bestFit="1" customWidth="1"/>
    <col min="5" max="5" width="13" bestFit="1" customWidth="1"/>
    <col min="6" max="6" width="16.77734375" bestFit="1" customWidth="1"/>
    <col min="8" max="8" width="13" bestFit="1" customWidth="1"/>
    <col min="9" max="9" width="16.77734375" bestFit="1" customWidth="1"/>
    <col min="12" max="12" width="13" bestFit="1" customWidth="1"/>
    <col min="13" max="13" width="16.21875" bestFit="1" customWidth="1"/>
  </cols>
  <sheetData>
    <row r="3" spans="1:13" x14ac:dyDescent="0.3">
      <c r="A3" s="15" t="s">
        <v>117</v>
      </c>
      <c r="B3" t="s">
        <v>118</v>
      </c>
      <c r="E3" s="15" t="s">
        <v>117</v>
      </c>
      <c r="F3" t="s">
        <v>118</v>
      </c>
      <c r="H3" s="15" t="s">
        <v>117</v>
      </c>
      <c r="I3" t="s">
        <v>118</v>
      </c>
      <c r="L3" s="15" t="s">
        <v>117</v>
      </c>
      <c r="M3" t="s">
        <v>119</v>
      </c>
    </row>
    <row r="4" spans="1:13" x14ac:dyDescent="0.3">
      <c r="A4" s="16" t="s">
        <v>16</v>
      </c>
      <c r="B4" s="17">
        <v>3534400</v>
      </c>
      <c r="E4" s="16" t="s">
        <v>23</v>
      </c>
      <c r="F4" s="17">
        <v>547200</v>
      </c>
      <c r="H4" s="16" t="s">
        <v>9</v>
      </c>
      <c r="I4" s="17">
        <v>1591600</v>
      </c>
      <c r="L4" s="16" t="s">
        <v>23</v>
      </c>
      <c r="M4">
        <v>456</v>
      </c>
    </row>
    <row r="5" spans="1:13" x14ac:dyDescent="0.3">
      <c r="A5" s="16" t="s">
        <v>28</v>
      </c>
      <c r="B5" s="17">
        <v>2661400</v>
      </c>
      <c r="E5" s="16" t="s">
        <v>17</v>
      </c>
      <c r="F5" s="17">
        <v>2222500</v>
      </c>
      <c r="H5" s="16" t="s">
        <v>45</v>
      </c>
      <c r="I5" s="17">
        <v>677600</v>
      </c>
      <c r="L5" s="16" t="s">
        <v>17</v>
      </c>
      <c r="M5">
        <v>635</v>
      </c>
    </row>
    <row r="6" spans="1:13" x14ac:dyDescent="0.3">
      <c r="A6" s="16" t="s">
        <v>22</v>
      </c>
      <c r="B6" s="17">
        <v>2870600</v>
      </c>
      <c r="E6" s="16" t="s">
        <v>46</v>
      </c>
      <c r="F6" s="17">
        <v>706800</v>
      </c>
      <c r="H6" s="16" t="s">
        <v>27</v>
      </c>
      <c r="I6" s="17">
        <v>1957000</v>
      </c>
      <c r="L6" s="16" t="s">
        <v>46</v>
      </c>
      <c r="M6">
        <v>1178</v>
      </c>
    </row>
    <row r="7" spans="1:13" x14ac:dyDescent="0.3">
      <c r="A7" s="16" t="s">
        <v>10</v>
      </c>
      <c r="B7" s="17">
        <v>3878100</v>
      </c>
      <c r="E7" s="16" t="s">
        <v>29</v>
      </c>
      <c r="F7" s="17">
        <v>898000</v>
      </c>
      <c r="H7" s="16" t="s">
        <v>38</v>
      </c>
      <c r="I7" s="17">
        <v>1661400</v>
      </c>
      <c r="L7" s="16" t="s">
        <v>29</v>
      </c>
      <c r="M7">
        <v>898</v>
      </c>
    </row>
    <row r="8" spans="1:13" x14ac:dyDescent="0.3">
      <c r="A8" s="16" t="s">
        <v>113</v>
      </c>
      <c r="B8" s="17">
        <v>12944500</v>
      </c>
      <c r="E8" s="16" t="s">
        <v>64</v>
      </c>
      <c r="F8" s="17">
        <v>2350000</v>
      </c>
      <c r="H8" s="16" t="s">
        <v>42</v>
      </c>
      <c r="I8" s="17">
        <v>1741200</v>
      </c>
      <c r="L8" s="16" t="s">
        <v>64</v>
      </c>
      <c r="M8">
        <v>235</v>
      </c>
    </row>
    <row r="9" spans="1:13" x14ac:dyDescent="0.3">
      <c r="E9" s="16" t="s">
        <v>35</v>
      </c>
      <c r="F9" s="17">
        <v>3196000</v>
      </c>
      <c r="H9" s="16" t="s">
        <v>21</v>
      </c>
      <c r="I9" s="17">
        <v>1110000</v>
      </c>
      <c r="L9" s="16" t="s">
        <v>35</v>
      </c>
      <c r="M9">
        <v>799</v>
      </c>
    </row>
    <row r="10" spans="1:13" x14ac:dyDescent="0.3">
      <c r="E10" s="16" t="s">
        <v>11</v>
      </c>
      <c r="F10" s="17">
        <v>3024000</v>
      </c>
      <c r="H10" s="16" t="s">
        <v>15</v>
      </c>
      <c r="I10" s="17">
        <v>1777400</v>
      </c>
      <c r="L10" s="16" t="s">
        <v>11</v>
      </c>
      <c r="M10">
        <v>504</v>
      </c>
    </row>
    <row r="11" spans="1:13" x14ac:dyDescent="0.3">
      <c r="E11" s="16" t="s">
        <v>113</v>
      </c>
      <c r="F11" s="17">
        <v>12944500</v>
      </c>
      <c r="H11" s="16" t="s">
        <v>34</v>
      </c>
      <c r="I11" s="17">
        <v>1065400</v>
      </c>
      <c r="L11" s="16" t="s">
        <v>113</v>
      </c>
      <c r="M11">
        <v>4705</v>
      </c>
    </row>
    <row r="12" spans="1:13" x14ac:dyDescent="0.3">
      <c r="H12" s="16" t="s">
        <v>50</v>
      </c>
      <c r="I12" s="17">
        <v>784400</v>
      </c>
    </row>
    <row r="13" spans="1:13" x14ac:dyDescent="0.3">
      <c r="H13" s="16" t="s">
        <v>40</v>
      </c>
      <c r="I13" s="17">
        <v>578500</v>
      </c>
    </row>
    <row r="14" spans="1:13" x14ac:dyDescent="0.3">
      <c r="H14" s="16" t="s">
        <v>113</v>
      </c>
      <c r="I14" s="17">
        <v>12944500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03CCD-B763-4085-8FD9-6A0144505726}">
  <dimension ref="A1:M51"/>
  <sheetViews>
    <sheetView topLeftCell="A2" workbookViewId="0">
      <selection activeCell="M15" sqref="M15"/>
    </sheetView>
  </sheetViews>
  <sheetFormatPr defaultRowHeight="14.4" x14ac:dyDescent="0.3"/>
  <cols>
    <col min="1" max="1" width="10.33203125" bestFit="1" customWidth="1"/>
    <col min="2" max="2" width="13.44140625" customWidth="1"/>
    <col min="3" max="3" width="8.44140625" customWidth="1"/>
    <col min="4" max="4" width="9.44140625" customWidth="1"/>
    <col min="5" max="5" width="11.33203125" customWidth="1"/>
    <col min="6" max="6" width="11" customWidth="1"/>
    <col min="7" max="7" width="14.21875" customWidth="1"/>
    <col min="8" max="8" width="13.21875" customWidth="1"/>
    <col min="9" max="9" width="12.109375" customWidth="1"/>
    <col min="13" max="13" width="15" customWidth="1"/>
  </cols>
  <sheetData>
    <row r="1" spans="1:13" ht="15" thickBot="1" x14ac:dyDescent="0.35">
      <c r="A1" s="10" t="s">
        <v>0</v>
      </c>
      <c r="B1" s="11" t="s">
        <v>1</v>
      </c>
      <c r="C1" s="11" t="s">
        <v>2</v>
      </c>
      <c r="D1" s="11" t="s">
        <v>3</v>
      </c>
      <c r="E1" s="11" t="s">
        <v>4</v>
      </c>
      <c r="F1" s="11" t="s">
        <v>5</v>
      </c>
      <c r="G1" s="11" t="s">
        <v>6</v>
      </c>
      <c r="H1" s="11" t="s">
        <v>7</v>
      </c>
      <c r="I1" s="11" t="s">
        <v>112</v>
      </c>
    </row>
    <row r="2" spans="1:13" ht="15.6" thickTop="1" thickBot="1" x14ac:dyDescent="0.35">
      <c r="A2" s="8" t="s">
        <v>8</v>
      </c>
      <c r="B2" s="3" t="s">
        <v>9</v>
      </c>
      <c r="C2" s="3" t="s">
        <v>10</v>
      </c>
      <c r="D2" s="3" t="s">
        <v>11</v>
      </c>
      <c r="E2" s="3">
        <v>84</v>
      </c>
      <c r="F2" s="7">
        <v>6000</v>
      </c>
      <c r="G2" s="7">
        <v>4000</v>
      </c>
      <c r="H2" s="7">
        <v>504000</v>
      </c>
      <c r="I2" s="6">
        <f>H2-(G2*E2)</f>
        <v>168000</v>
      </c>
    </row>
    <row r="3" spans="1:13" ht="15" thickBot="1" x14ac:dyDescent="0.35">
      <c r="A3" s="9">
        <v>44386</v>
      </c>
      <c r="B3" s="3" t="s">
        <v>15</v>
      </c>
      <c r="C3" s="3" t="s">
        <v>16</v>
      </c>
      <c r="D3" s="3" t="s">
        <v>17</v>
      </c>
      <c r="E3" s="3">
        <v>128</v>
      </c>
      <c r="F3" s="7">
        <v>3500</v>
      </c>
      <c r="G3" s="7">
        <v>2500</v>
      </c>
      <c r="H3" s="7">
        <v>448000</v>
      </c>
      <c r="I3" s="6">
        <f t="shared" ref="I3:I51" si="0">H3-(G3*E3)</f>
        <v>128000</v>
      </c>
    </row>
    <row r="4" spans="1:13" ht="29.4" thickBot="1" x14ac:dyDescent="0.35">
      <c r="A4" s="9">
        <v>44257</v>
      </c>
      <c r="B4" s="3" t="s">
        <v>21</v>
      </c>
      <c r="C4" s="3" t="s">
        <v>22</v>
      </c>
      <c r="D4" s="3" t="s">
        <v>23</v>
      </c>
      <c r="E4" s="3">
        <v>136</v>
      </c>
      <c r="F4" s="7">
        <v>1200</v>
      </c>
      <c r="G4" s="4">
        <v>800</v>
      </c>
      <c r="H4" s="7">
        <v>163200</v>
      </c>
      <c r="I4" s="6">
        <f t="shared" si="0"/>
        <v>54400</v>
      </c>
    </row>
    <row r="5" spans="1:13" ht="15" thickBot="1" x14ac:dyDescent="0.35">
      <c r="A5" s="9">
        <v>44144</v>
      </c>
      <c r="B5" s="3" t="s">
        <v>27</v>
      </c>
      <c r="C5" s="3" t="s">
        <v>28</v>
      </c>
      <c r="D5" s="3" t="s">
        <v>29</v>
      </c>
      <c r="E5" s="3">
        <v>91</v>
      </c>
      <c r="F5" s="7">
        <v>1000</v>
      </c>
      <c r="G5" s="4">
        <v>700</v>
      </c>
      <c r="H5" s="7">
        <v>91000</v>
      </c>
      <c r="I5" s="6">
        <f t="shared" si="0"/>
        <v>27300</v>
      </c>
    </row>
    <row r="6" spans="1:13" ht="15" thickBot="1" x14ac:dyDescent="0.35">
      <c r="A6" s="8" t="s">
        <v>33</v>
      </c>
      <c r="B6" s="3" t="s">
        <v>34</v>
      </c>
      <c r="C6" s="3" t="s">
        <v>10</v>
      </c>
      <c r="D6" s="3" t="s">
        <v>35</v>
      </c>
      <c r="E6" s="3">
        <v>110</v>
      </c>
      <c r="F6" s="7">
        <v>4000</v>
      </c>
      <c r="G6" s="7">
        <v>3000</v>
      </c>
      <c r="H6" s="7">
        <v>440000</v>
      </c>
      <c r="I6" s="6">
        <f t="shared" si="0"/>
        <v>110000</v>
      </c>
    </row>
    <row r="7" spans="1:13" ht="29.4" thickBot="1" x14ac:dyDescent="0.35">
      <c r="A7" s="9">
        <v>43840</v>
      </c>
      <c r="B7" s="3" t="s">
        <v>38</v>
      </c>
      <c r="C7" s="3" t="s">
        <v>16</v>
      </c>
      <c r="D7" s="3" t="s">
        <v>23</v>
      </c>
      <c r="E7" s="3">
        <v>51</v>
      </c>
      <c r="F7" s="7">
        <v>1200</v>
      </c>
      <c r="G7" s="4">
        <v>800</v>
      </c>
      <c r="H7" s="7">
        <v>61200</v>
      </c>
      <c r="I7" s="6">
        <f t="shared" si="0"/>
        <v>20400</v>
      </c>
      <c r="M7" s="14" t="s">
        <v>113</v>
      </c>
    </row>
    <row r="8" spans="1:13" ht="15" thickBot="1" x14ac:dyDescent="0.35">
      <c r="A8" s="9">
        <v>44324</v>
      </c>
      <c r="B8" s="3" t="s">
        <v>40</v>
      </c>
      <c r="C8" s="3" t="s">
        <v>28</v>
      </c>
      <c r="D8" s="3" t="s">
        <v>29</v>
      </c>
      <c r="E8" s="3">
        <v>78</v>
      </c>
      <c r="F8" s="7">
        <v>1000</v>
      </c>
      <c r="G8" s="4">
        <v>700</v>
      </c>
      <c r="H8" s="7">
        <v>78000</v>
      </c>
      <c r="I8" s="6">
        <f t="shared" si="0"/>
        <v>23400</v>
      </c>
      <c r="M8" s="13">
        <f>SUM(Table1[Total Sales])</f>
        <v>12944500</v>
      </c>
    </row>
    <row r="9" spans="1:13" ht="15" thickBot="1" x14ac:dyDescent="0.35">
      <c r="A9" s="9">
        <v>43993</v>
      </c>
      <c r="B9" s="3" t="s">
        <v>42</v>
      </c>
      <c r="C9" s="3" t="s">
        <v>22</v>
      </c>
      <c r="D9" s="3" t="s">
        <v>11</v>
      </c>
      <c r="E9" s="3">
        <v>146</v>
      </c>
      <c r="F9" s="7">
        <v>6000</v>
      </c>
      <c r="G9" s="7">
        <v>4000</v>
      </c>
      <c r="H9" s="7">
        <v>876000</v>
      </c>
      <c r="I9" s="6">
        <f t="shared" si="0"/>
        <v>292000</v>
      </c>
      <c r="M9" s="14" t="s">
        <v>114</v>
      </c>
    </row>
    <row r="10" spans="1:13" ht="29.4" thickBot="1" x14ac:dyDescent="0.35">
      <c r="A10" s="8" t="s">
        <v>44</v>
      </c>
      <c r="B10" s="3" t="s">
        <v>45</v>
      </c>
      <c r="C10" s="3" t="s">
        <v>10</v>
      </c>
      <c r="D10" s="3" t="s">
        <v>46</v>
      </c>
      <c r="E10" s="3">
        <v>101</v>
      </c>
      <c r="F10" s="4">
        <v>600</v>
      </c>
      <c r="G10" s="4">
        <v>400</v>
      </c>
      <c r="H10" s="7">
        <v>60600</v>
      </c>
      <c r="I10" s="6">
        <f t="shared" si="0"/>
        <v>20200</v>
      </c>
      <c r="M10" s="12">
        <f>SUM(Table1[Units Sold])</f>
        <v>4705</v>
      </c>
    </row>
    <row r="11" spans="1:13" ht="15" thickBot="1" x14ac:dyDescent="0.35">
      <c r="A11" s="9">
        <v>44264</v>
      </c>
      <c r="B11" s="3" t="s">
        <v>50</v>
      </c>
      <c r="C11" s="3" t="s">
        <v>22</v>
      </c>
      <c r="D11" s="3" t="s">
        <v>11</v>
      </c>
      <c r="E11" s="3">
        <v>52</v>
      </c>
      <c r="F11" s="7">
        <v>6000</v>
      </c>
      <c r="G11" s="7">
        <v>4000</v>
      </c>
      <c r="H11" s="7">
        <v>312000</v>
      </c>
      <c r="I11" s="6">
        <f t="shared" si="0"/>
        <v>104000</v>
      </c>
      <c r="M11" s="14" t="s">
        <v>115</v>
      </c>
    </row>
    <row r="12" spans="1:13" ht="29.4" thickBot="1" x14ac:dyDescent="0.35">
      <c r="A12" s="8" t="s">
        <v>52</v>
      </c>
      <c r="B12" s="3" t="s">
        <v>50</v>
      </c>
      <c r="C12" s="3" t="s">
        <v>16</v>
      </c>
      <c r="D12" s="3" t="s">
        <v>23</v>
      </c>
      <c r="E12" s="3">
        <v>55</v>
      </c>
      <c r="F12" s="7">
        <v>1200</v>
      </c>
      <c r="G12" s="4">
        <v>800</v>
      </c>
      <c r="H12" s="7">
        <v>66000</v>
      </c>
      <c r="I12" s="6">
        <f t="shared" si="0"/>
        <v>22000</v>
      </c>
      <c r="M12" s="12">
        <f>SUM(Table1[[Profit ]])</f>
        <v>3834400</v>
      </c>
    </row>
    <row r="13" spans="1:13" ht="15" thickBot="1" x14ac:dyDescent="0.35">
      <c r="A13" s="9">
        <v>44113</v>
      </c>
      <c r="B13" s="3" t="s">
        <v>50</v>
      </c>
      <c r="C13" s="3" t="s">
        <v>22</v>
      </c>
      <c r="D13" s="3" t="s">
        <v>29</v>
      </c>
      <c r="E13" s="3">
        <v>137</v>
      </c>
      <c r="F13" s="7">
        <v>1000</v>
      </c>
      <c r="G13" s="4">
        <v>700</v>
      </c>
      <c r="H13" s="7">
        <v>137000</v>
      </c>
      <c r="I13" s="6">
        <f t="shared" si="0"/>
        <v>41100</v>
      </c>
      <c r="M13" s="14" t="s">
        <v>116</v>
      </c>
    </row>
    <row r="14" spans="1:13" ht="15" thickBot="1" x14ac:dyDescent="0.35">
      <c r="A14" s="8" t="s">
        <v>55</v>
      </c>
      <c r="B14" s="3" t="s">
        <v>42</v>
      </c>
      <c r="C14" s="3" t="s">
        <v>22</v>
      </c>
      <c r="D14" s="3" t="s">
        <v>17</v>
      </c>
      <c r="E14" s="3">
        <v>96</v>
      </c>
      <c r="F14" s="7">
        <v>3500</v>
      </c>
      <c r="G14" s="7">
        <v>2500</v>
      </c>
      <c r="H14" s="7">
        <v>336000</v>
      </c>
      <c r="I14" s="6">
        <f t="shared" si="0"/>
        <v>96000</v>
      </c>
      <c r="M14" s="12">
        <f>AVERAGE(Table1[Total Sales])</f>
        <v>258890</v>
      </c>
    </row>
    <row r="15" spans="1:13" ht="15" thickBot="1" x14ac:dyDescent="0.35">
      <c r="A15" s="9">
        <v>44084</v>
      </c>
      <c r="B15" s="3" t="s">
        <v>45</v>
      </c>
      <c r="C15" s="3" t="s">
        <v>16</v>
      </c>
      <c r="D15" s="3" t="s">
        <v>35</v>
      </c>
      <c r="E15" s="3">
        <v>52</v>
      </c>
      <c r="F15" s="7">
        <v>4000</v>
      </c>
      <c r="G15" s="7">
        <v>3000</v>
      </c>
      <c r="H15" s="7">
        <v>208000</v>
      </c>
      <c r="I15" s="6">
        <f t="shared" si="0"/>
        <v>52000</v>
      </c>
      <c r="M15" t="s">
        <v>121</v>
      </c>
    </row>
    <row r="16" spans="1:13" ht="15" thickBot="1" x14ac:dyDescent="0.35">
      <c r="A16" s="9">
        <v>44351</v>
      </c>
      <c r="B16" s="3" t="s">
        <v>27</v>
      </c>
      <c r="C16" s="3" t="s">
        <v>10</v>
      </c>
      <c r="D16" s="3" t="s">
        <v>17</v>
      </c>
      <c r="E16" s="3">
        <v>76</v>
      </c>
      <c r="F16" s="7">
        <v>3500</v>
      </c>
      <c r="G16" s="7">
        <v>2500</v>
      </c>
      <c r="H16" s="7">
        <v>266000</v>
      </c>
      <c r="I16" s="6">
        <f t="shared" si="0"/>
        <v>76000</v>
      </c>
    </row>
    <row r="17" spans="1:9" ht="15" thickBot="1" x14ac:dyDescent="0.35">
      <c r="A17" s="8" t="s">
        <v>59</v>
      </c>
      <c r="B17" s="3" t="s">
        <v>15</v>
      </c>
      <c r="C17" s="3" t="s">
        <v>28</v>
      </c>
      <c r="D17" s="3" t="s">
        <v>35</v>
      </c>
      <c r="E17" s="3">
        <v>145</v>
      </c>
      <c r="F17" s="7">
        <v>4000</v>
      </c>
      <c r="G17" s="7">
        <v>3000</v>
      </c>
      <c r="H17" s="7">
        <v>580000</v>
      </c>
      <c r="I17" s="6">
        <f t="shared" si="0"/>
        <v>145000</v>
      </c>
    </row>
    <row r="18" spans="1:9" ht="29.4" thickBot="1" x14ac:dyDescent="0.35">
      <c r="A18" s="9">
        <v>44083</v>
      </c>
      <c r="B18" s="3" t="s">
        <v>9</v>
      </c>
      <c r="C18" s="3" t="s">
        <v>22</v>
      </c>
      <c r="D18" s="3" t="s">
        <v>46</v>
      </c>
      <c r="E18" s="3">
        <v>83</v>
      </c>
      <c r="F18" s="4">
        <v>600</v>
      </c>
      <c r="G18" s="4">
        <v>400</v>
      </c>
      <c r="H18" s="7">
        <v>49800</v>
      </c>
      <c r="I18" s="6">
        <f t="shared" si="0"/>
        <v>16600</v>
      </c>
    </row>
    <row r="19" spans="1:9" ht="15" thickBot="1" x14ac:dyDescent="0.35">
      <c r="A19" s="8" t="s">
        <v>62</v>
      </c>
      <c r="B19" s="3" t="s">
        <v>34</v>
      </c>
      <c r="C19" s="3" t="s">
        <v>22</v>
      </c>
      <c r="D19" s="3" t="s">
        <v>29</v>
      </c>
      <c r="E19" s="3">
        <v>91</v>
      </c>
      <c r="F19" s="7">
        <v>1000</v>
      </c>
      <c r="G19" s="4">
        <v>700</v>
      </c>
      <c r="H19" s="7">
        <v>91000</v>
      </c>
      <c r="I19" s="6">
        <f t="shared" si="0"/>
        <v>27300</v>
      </c>
    </row>
    <row r="20" spans="1:9" ht="29.4" thickBot="1" x14ac:dyDescent="0.35">
      <c r="A20" s="8" t="s">
        <v>63</v>
      </c>
      <c r="B20" s="3" t="s">
        <v>38</v>
      </c>
      <c r="C20" s="3" t="s">
        <v>10</v>
      </c>
      <c r="D20" s="3" t="s">
        <v>64</v>
      </c>
      <c r="E20" s="3">
        <v>108</v>
      </c>
      <c r="F20" s="7">
        <v>10000</v>
      </c>
      <c r="G20" s="7">
        <v>7000</v>
      </c>
      <c r="H20" s="7">
        <v>1080000</v>
      </c>
      <c r="I20" s="6">
        <f t="shared" si="0"/>
        <v>324000</v>
      </c>
    </row>
    <row r="21" spans="1:9" ht="15" thickBot="1" x14ac:dyDescent="0.35">
      <c r="A21" s="9">
        <v>44381</v>
      </c>
      <c r="B21" s="3" t="s">
        <v>21</v>
      </c>
      <c r="C21" s="3" t="s">
        <v>28</v>
      </c>
      <c r="D21" s="3" t="s">
        <v>35</v>
      </c>
      <c r="E21" s="3">
        <v>144</v>
      </c>
      <c r="F21" s="7">
        <v>4000</v>
      </c>
      <c r="G21" s="7">
        <v>3000</v>
      </c>
      <c r="H21" s="7">
        <v>576000</v>
      </c>
      <c r="I21" s="6">
        <f t="shared" si="0"/>
        <v>144000</v>
      </c>
    </row>
    <row r="22" spans="1:9" ht="29.4" thickBot="1" x14ac:dyDescent="0.35">
      <c r="A22" s="9">
        <v>44049</v>
      </c>
      <c r="B22" s="3" t="s">
        <v>34</v>
      </c>
      <c r="C22" s="3" t="s">
        <v>22</v>
      </c>
      <c r="D22" s="3" t="s">
        <v>46</v>
      </c>
      <c r="E22" s="3">
        <v>92</v>
      </c>
      <c r="F22" s="4">
        <v>600</v>
      </c>
      <c r="G22" s="4">
        <v>400</v>
      </c>
      <c r="H22" s="7">
        <v>55200</v>
      </c>
      <c r="I22" s="6">
        <f t="shared" si="0"/>
        <v>18400</v>
      </c>
    </row>
    <row r="23" spans="1:9" ht="15" thickBot="1" x14ac:dyDescent="0.35">
      <c r="A23" s="8" t="s">
        <v>70</v>
      </c>
      <c r="B23" s="3" t="s">
        <v>42</v>
      </c>
      <c r="C23" s="3" t="s">
        <v>10</v>
      </c>
      <c r="D23" s="3" t="s">
        <v>11</v>
      </c>
      <c r="E23" s="3">
        <v>71</v>
      </c>
      <c r="F23" s="7">
        <v>6000</v>
      </c>
      <c r="G23" s="7">
        <v>4000</v>
      </c>
      <c r="H23" s="7">
        <v>426000</v>
      </c>
      <c r="I23" s="6">
        <f t="shared" si="0"/>
        <v>142000</v>
      </c>
    </row>
    <row r="24" spans="1:9" ht="29.4" thickBot="1" x14ac:dyDescent="0.35">
      <c r="A24" s="9">
        <v>44477</v>
      </c>
      <c r="B24" s="3" t="s">
        <v>9</v>
      </c>
      <c r="C24" s="3" t="s">
        <v>16</v>
      </c>
      <c r="D24" s="3" t="s">
        <v>46</v>
      </c>
      <c r="E24" s="3">
        <v>103</v>
      </c>
      <c r="F24" s="4">
        <v>600</v>
      </c>
      <c r="G24" s="4">
        <v>400</v>
      </c>
      <c r="H24" s="7">
        <v>61800</v>
      </c>
      <c r="I24" s="6">
        <f t="shared" si="0"/>
        <v>20600</v>
      </c>
    </row>
    <row r="25" spans="1:9" ht="15" thickBot="1" x14ac:dyDescent="0.35">
      <c r="A25" s="9">
        <v>44239</v>
      </c>
      <c r="B25" s="3" t="s">
        <v>50</v>
      </c>
      <c r="C25" s="3" t="s">
        <v>28</v>
      </c>
      <c r="D25" s="3" t="s">
        <v>29</v>
      </c>
      <c r="E25" s="3">
        <v>55</v>
      </c>
      <c r="F25" s="7">
        <v>1000</v>
      </c>
      <c r="G25" s="4">
        <v>700</v>
      </c>
      <c r="H25" s="7">
        <v>55000</v>
      </c>
      <c r="I25" s="6">
        <f t="shared" si="0"/>
        <v>16500</v>
      </c>
    </row>
    <row r="26" spans="1:9" ht="15" thickBot="1" x14ac:dyDescent="0.35">
      <c r="A26" s="8" t="s">
        <v>74</v>
      </c>
      <c r="B26" s="3" t="s">
        <v>38</v>
      </c>
      <c r="C26" s="3" t="s">
        <v>16</v>
      </c>
      <c r="D26" s="3" t="s">
        <v>35</v>
      </c>
      <c r="E26" s="3">
        <v>93</v>
      </c>
      <c r="F26" s="7">
        <v>4000</v>
      </c>
      <c r="G26" s="7">
        <v>3000</v>
      </c>
      <c r="H26" s="7">
        <v>372000</v>
      </c>
      <c r="I26" s="6">
        <f t="shared" si="0"/>
        <v>93000</v>
      </c>
    </row>
    <row r="27" spans="1:9" ht="29.4" thickBot="1" x14ac:dyDescent="0.35">
      <c r="A27" s="8" t="s">
        <v>76</v>
      </c>
      <c r="B27" s="3" t="s">
        <v>21</v>
      </c>
      <c r="C27" s="3" t="s">
        <v>22</v>
      </c>
      <c r="D27" s="3" t="s">
        <v>46</v>
      </c>
      <c r="E27" s="3">
        <v>143</v>
      </c>
      <c r="F27" s="4">
        <v>600</v>
      </c>
      <c r="G27" s="4">
        <v>400</v>
      </c>
      <c r="H27" s="7">
        <v>85800</v>
      </c>
      <c r="I27" s="6">
        <f t="shared" si="0"/>
        <v>28600</v>
      </c>
    </row>
    <row r="28" spans="1:9" ht="15" thickBot="1" x14ac:dyDescent="0.35">
      <c r="A28" s="8" t="s">
        <v>78</v>
      </c>
      <c r="B28" s="3" t="s">
        <v>40</v>
      </c>
      <c r="C28" s="3" t="s">
        <v>10</v>
      </c>
      <c r="D28" s="3" t="s">
        <v>17</v>
      </c>
      <c r="E28" s="3">
        <v>143</v>
      </c>
      <c r="F28" s="7">
        <v>3500</v>
      </c>
      <c r="G28" s="7">
        <v>2500</v>
      </c>
      <c r="H28" s="7">
        <v>500500</v>
      </c>
      <c r="I28" s="6">
        <f t="shared" si="0"/>
        <v>143000</v>
      </c>
    </row>
    <row r="29" spans="1:9" ht="29.4" thickBot="1" x14ac:dyDescent="0.35">
      <c r="A29" s="8" t="s">
        <v>80</v>
      </c>
      <c r="B29" s="3" t="s">
        <v>45</v>
      </c>
      <c r="C29" s="3" t="s">
        <v>28</v>
      </c>
      <c r="D29" s="3" t="s">
        <v>46</v>
      </c>
      <c r="E29" s="3">
        <v>99</v>
      </c>
      <c r="F29" s="4">
        <v>600</v>
      </c>
      <c r="G29" s="4">
        <v>400</v>
      </c>
      <c r="H29" s="7">
        <v>59400</v>
      </c>
      <c r="I29" s="6">
        <f t="shared" si="0"/>
        <v>19800</v>
      </c>
    </row>
    <row r="30" spans="1:9" ht="15" thickBot="1" x14ac:dyDescent="0.35">
      <c r="A30" s="8" t="s">
        <v>82</v>
      </c>
      <c r="B30" s="3" t="s">
        <v>27</v>
      </c>
      <c r="C30" s="3" t="s">
        <v>10</v>
      </c>
      <c r="D30" s="3" t="s">
        <v>29</v>
      </c>
      <c r="E30" s="3">
        <v>120</v>
      </c>
      <c r="F30" s="7">
        <v>1000</v>
      </c>
      <c r="G30" s="4">
        <v>700</v>
      </c>
      <c r="H30" s="7">
        <v>120000</v>
      </c>
      <c r="I30" s="6">
        <f t="shared" si="0"/>
        <v>36000</v>
      </c>
    </row>
    <row r="31" spans="1:9" ht="15" thickBot="1" x14ac:dyDescent="0.35">
      <c r="A31" s="8" t="s">
        <v>84</v>
      </c>
      <c r="B31" s="3" t="s">
        <v>15</v>
      </c>
      <c r="C31" s="3" t="s">
        <v>22</v>
      </c>
      <c r="D31" s="3" t="s">
        <v>17</v>
      </c>
      <c r="E31" s="3">
        <v>66</v>
      </c>
      <c r="F31" s="7">
        <v>3500</v>
      </c>
      <c r="G31" s="7">
        <v>2500</v>
      </c>
      <c r="H31" s="7">
        <v>231000</v>
      </c>
      <c r="I31" s="6">
        <f t="shared" si="0"/>
        <v>66000</v>
      </c>
    </row>
    <row r="32" spans="1:9" ht="29.4" thickBot="1" x14ac:dyDescent="0.35">
      <c r="A32" s="8" t="s">
        <v>86</v>
      </c>
      <c r="B32" s="3" t="s">
        <v>45</v>
      </c>
      <c r="C32" s="3" t="s">
        <v>28</v>
      </c>
      <c r="D32" s="3" t="s">
        <v>23</v>
      </c>
      <c r="E32" s="3">
        <v>88</v>
      </c>
      <c r="F32" s="7">
        <v>1200</v>
      </c>
      <c r="G32" s="4">
        <v>800</v>
      </c>
      <c r="H32" s="7">
        <v>105600</v>
      </c>
      <c r="I32" s="6">
        <f t="shared" si="0"/>
        <v>35200</v>
      </c>
    </row>
    <row r="33" spans="1:9" ht="29.4" thickBot="1" x14ac:dyDescent="0.35">
      <c r="A33" s="8" t="s">
        <v>88</v>
      </c>
      <c r="B33" s="3" t="s">
        <v>27</v>
      </c>
      <c r="C33" s="3" t="s">
        <v>16</v>
      </c>
      <c r="D33" s="3" t="s">
        <v>64</v>
      </c>
      <c r="E33" s="3">
        <v>127</v>
      </c>
      <c r="F33" s="7">
        <v>10000</v>
      </c>
      <c r="G33" s="7">
        <v>7000</v>
      </c>
      <c r="H33" s="7">
        <v>1270000</v>
      </c>
      <c r="I33" s="6">
        <f t="shared" si="0"/>
        <v>381000</v>
      </c>
    </row>
    <row r="34" spans="1:9" ht="15" thickBot="1" x14ac:dyDescent="0.35">
      <c r="A34" s="8" t="s">
        <v>90</v>
      </c>
      <c r="B34" s="3" t="s">
        <v>34</v>
      </c>
      <c r="C34" s="3" t="s">
        <v>10</v>
      </c>
      <c r="D34" s="3" t="s">
        <v>35</v>
      </c>
      <c r="E34" s="3">
        <v>67</v>
      </c>
      <c r="F34" s="7">
        <v>4000</v>
      </c>
      <c r="G34" s="7">
        <v>3000</v>
      </c>
      <c r="H34" s="7">
        <v>268000</v>
      </c>
      <c r="I34" s="6">
        <f t="shared" si="0"/>
        <v>67000</v>
      </c>
    </row>
    <row r="35" spans="1:9" ht="29.4" thickBot="1" x14ac:dyDescent="0.35">
      <c r="A35" s="9">
        <v>44359</v>
      </c>
      <c r="B35" s="3" t="s">
        <v>15</v>
      </c>
      <c r="C35" s="3" t="s">
        <v>16</v>
      </c>
      <c r="D35" s="3" t="s">
        <v>23</v>
      </c>
      <c r="E35" s="3">
        <v>67</v>
      </c>
      <c r="F35" s="7">
        <v>1200</v>
      </c>
      <c r="G35" s="4">
        <v>800</v>
      </c>
      <c r="H35" s="7">
        <v>80400</v>
      </c>
      <c r="I35" s="6">
        <f t="shared" si="0"/>
        <v>26800</v>
      </c>
    </row>
    <row r="36" spans="1:9" ht="15" thickBot="1" x14ac:dyDescent="0.35">
      <c r="A36" s="8" t="s">
        <v>93</v>
      </c>
      <c r="B36" s="3" t="s">
        <v>50</v>
      </c>
      <c r="C36" s="3" t="s">
        <v>22</v>
      </c>
      <c r="D36" s="3" t="s">
        <v>29</v>
      </c>
      <c r="E36" s="3">
        <v>149</v>
      </c>
      <c r="F36" s="7">
        <v>1000</v>
      </c>
      <c r="G36" s="4">
        <v>700</v>
      </c>
      <c r="H36" s="7">
        <v>149000</v>
      </c>
      <c r="I36" s="6">
        <f t="shared" si="0"/>
        <v>44700</v>
      </c>
    </row>
    <row r="37" spans="1:9" ht="29.4" thickBot="1" x14ac:dyDescent="0.35">
      <c r="A37" s="9">
        <v>44203</v>
      </c>
      <c r="B37" s="3" t="s">
        <v>34</v>
      </c>
      <c r="C37" s="3" t="s">
        <v>28</v>
      </c>
      <c r="D37" s="3" t="s">
        <v>46</v>
      </c>
      <c r="E37" s="3">
        <v>104</v>
      </c>
      <c r="F37" s="4">
        <v>600</v>
      </c>
      <c r="G37" s="4">
        <v>400</v>
      </c>
      <c r="H37" s="7">
        <v>62400</v>
      </c>
      <c r="I37" s="6">
        <f t="shared" si="0"/>
        <v>20800</v>
      </c>
    </row>
    <row r="38" spans="1:9" ht="29.4" thickBot="1" x14ac:dyDescent="0.35">
      <c r="A38" s="8" t="s">
        <v>55</v>
      </c>
      <c r="B38" s="3" t="s">
        <v>42</v>
      </c>
      <c r="C38" s="3" t="s">
        <v>10</v>
      </c>
      <c r="D38" s="3" t="s">
        <v>46</v>
      </c>
      <c r="E38" s="3">
        <v>57</v>
      </c>
      <c r="F38" s="4">
        <v>600</v>
      </c>
      <c r="G38" s="4">
        <v>400</v>
      </c>
      <c r="H38" s="7">
        <v>34200</v>
      </c>
      <c r="I38" s="6">
        <f t="shared" si="0"/>
        <v>11400</v>
      </c>
    </row>
    <row r="39" spans="1:9" ht="29.4" thickBot="1" x14ac:dyDescent="0.35">
      <c r="A39" s="9">
        <v>43961</v>
      </c>
      <c r="B39" s="3" t="s">
        <v>21</v>
      </c>
      <c r="C39" s="3" t="s">
        <v>16</v>
      </c>
      <c r="D39" s="3" t="s">
        <v>46</v>
      </c>
      <c r="E39" s="3">
        <v>90</v>
      </c>
      <c r="F39" s="4">
        <v>600</v>
      </c>
      <c r="G39" s="4">
        <v>400</v>
      </c>
      <c r="H39" s="7">
        <v>54000</v>
      </c>
      <c r="I39" s="6">
        <f t="shared" si="0"/>
        <v>18000</v>
      </c>
    </row>
    <row r="40" spans="1:9" ht="29.4" thickBot="1" x14ac:dyDescent="0.35">
      <c r="A40" s="9">
        <v>43870</v>
      </c>
      <c r="B40" s="3" t="s">
        <v>38</v>
      </c>
      <c r="C40" s="3" t="s">
        <v>22</v>
      </c>
      <c r="D40" s="3" t="s">
        <v>46</v>
      </c>
      <c r="E40" s="3">
        <v>67</v>
      </c>
      <c r="F40" s="4">
        <v>600</v>
      </c>
      <c r="G40" s="4">
        <v>400</v>
      </c>
      <c r="H40" s="7">
        <v>40200</v>
      </c>
      <c r="I40" s="6">
        <f t="shared" si="0"/>
        <v>13400</v>
      </c>
    </row>
    <row r="41" spans="1:9" ht="15" thickBot="1" x14ac:dyDescent="0.35">
      <c r="A41" s="9">
        <v>44236</v>
      </c>
      <c r="B41" s="3" t="s">
        <v>9</v>
      </c>
      <c r="C41" s="3" t="s">
        <v>28</v>
      </c>
      <c r="D41" s="3" t="s">
        <v>35</v>
      </c>
      <c r="E41" s="3">
        <v>127</v>
      </c>
      <c r="F41" s="7">
        <v>4000</v>
      </c>
      <c r="G41" s="7">
        <v>3000</v>
      </c>
      <c r="H41" s="7">
        <v>508000</v>
      </c>
      <c r="I41" s="6">
        <f t="shared" si="0"/>
        <v>127000</v>
      </c>
    </row>
    <row r="42" spans="1:9" ht="15" thickBot="1" x14ac:dyDescent="0.35">
      <c r="A42" s="8" t="s">
        <v>100</v>
      </c>
      <c r="B42" s="3" t="s">
        <v>38</v>
      </c>
      <c r="C42" s="3" t="s">
        <v>10</v>
      </c>
      <c r="D42" s="3" t="s">
        <v>29</v>
      </c>
      <c r="E42" s="3">
        <v>108</v>
      </c>
      <c r="F42" s="7">
        <v>1000</v>
      </c>
      <c r="G42" s="4">
        <v>700</v>
      </c>
      <c r="H42" s="7">
        <v>108000</v>
      </c>
      <c r="I42" s="6">
        <f t="shared" si="0"/>
        <v>32400</v>
      </c>
    </row>
    <row r="43" spans="1:9" ht="15" thickBot="1" x14ac:dyDescent="0.35">
      <c r="A43" s="9">
        <v>44352</v>
      </c>
      <c r="B43" s="3" t="s">
        <v>21</v>
      </c>
      <c r="C43" s="3" t="s">
        <v>16</v>
      </c>
      <c r="D43" s="3" t="s">
        <v>17</v>
      </c>
      <c r="E43" s="3">
        <v>66</v>
      </c>
      <c r="F43" s="7">
        <v>3500</v>
      </c>
      <c r="G43" s="7">
        <v>2500</v>
      </c>
      <c r="H43" s="7">
        <v>231000</v>
      </c>
      <c r="I43" s="6">
        <f t="shared" si="0"/>
        <v>66000</v>
      </c>
    </row>
    <row r="44" spans="1:9" ht="15" thickBot="1" x14ac:dyDescent="0.35">
      <c r="A44" s="8" t="s">
        <v>102</v>
      </c>
      <c r="B44" s="3" t="s">
        <v>9</v>
      </c>
      <c r="C44" s="3" t="s">
        <v>28</v>
      </c>
      <c r="D44" s="3" t="s">
        <v>11</v>
      </c>
      <c r="E44" s="3">
        <v>78</v>
      </c>
      <c r="F44" s="7">
        <v>6000</v>
      </c>
      <c r="G44" s="7">
        <v>4000</v>
      </c>
      <c r="H44" s="7">
        <v>468000</v>
      </c>
      <c r="I44" s="6">
        <f t="shared" si="0"/>
        <v>156000</v>
      </c>
    </row>
    <row r="45" spans="1:9" ht="15" thickBot="1" x14ac:dyDescent="0.35">
      <c r="A45" s="8" t="s">
        <v>63</v>
      </c>
      <c r="B45" s="3" t="s">
        <v>42</v>
      </c>
      <c r="C45" s="3" t="s">
        <v>22</v>
      </c>
      <c r="D45" s="3" t="s">
        <v>29</v>
      </c>
      <c r="E45" s="3">
        <v>69</v>
      </c>
      <c r="F45" s="7">
        <v>1000</v>
      </c>
      <c r="G45" s="4">
        <v>700</v>
      </c>
      <c r="H45" s="7">
        <v>69000</v>
      </c>
      <c r="I45" s="6">
        <f t="shared" si="0"/>
        <v>20700</v>
      </c>
    </row>
    <row r="46" spans="1:9" ht="29.4" thickBot="1" x14ac:dyDescent="0.35">
      <c r="A46" s="9">
        <v>44318</v>
      </c>
      <c r="B46" s="3" t="s">
        <v>34</v>
      </c>
      <c r="C46" s="3" t="s">
        <v>10</v>
      </c>
      <c r="D46" s="3" t="s">
        <v>23</v>
      </c>
      <c r="E46" s="3">
        <v>59</v>
      </c>
      <c r="F46" s="7">
        <v>1200</v>
      </c>
      <c r="G46" s="4">
        <v>800</v>
      </c>
      <c r="H46" s="7">
        <v>70800</v>
      </c>
      <c r="I46" s="6">
        <f t="shared" si="0"/>
        <v>23600</v>
      </c>
    </row>
    <row r="47" spans="1:9" ht="29.4" thickBot="1" x14ac:dyDescent="0.35">
      <c r="A47" s="8" t="s">
        <v>106</v>
      </c>
      <c r="B47" s="3" t="s">
        <v>50</v>
      </c>
      <c r="C47" s="3" t="s">
        <v>22</v>
      </c>
      <c r="D47" s="3" t="s">
        <v>46</v>
      </c>
      <c r="E47" s="3">
        <v>109</v>
      </c>
      <c r="F47" s="4">
        <v>600</v>
      </c>
      <c r="G47" s="4">
        <v>400</v>
      </c>
      <c r="H47" s="7">
        <v>65400</v>
      </c>
      <c r="I47" s="6">
        <f t="shared" si="0"/>
        <v>21800</v>
      </c>
    </row>
    <row r="48" spans="1:9" ht="15" thickBot="1" x14ac:dyDescent="0.35">
      <c r="A48" s="8" t="s">
        <v>108</v>
      </c>
      <c r="B48" s="3" t="s">
        <v>45</v>
      </c>
      <c r="C48" s="3" t="s">
        <v>16</v>
      </c>
      <c r="D48" s="3" t="s">
        <v>35</v>
      </c>
      <c r="E48" s="3">
        <v>61</v>
      </c>
      <c r="F48" s="7">
        <v>4000</v>
      </c>
      <c r="G48" s="7">
        <v>3000</v>
      </c>
      <c r="H48" s="7">
        <v>244000</v>
      </c>
      <c r="I48" s="6">
        <f t="shared" si="0"/>
        <v>61000</v>
      </c>
    </row>
    <row r="49" spans="1:9" ht="29.4" thickBot="1" x14ac:dyDescent="0.35">
      <c r="A49" s="8" t="s">
        <v>80</v>
      </c>
      <c r="B49" s="3" t="s">
        <v>34</v>
      </c>
      <c r="C49" s="3" t="s">
        <v>28</v>
      </c>
      <c r="D49" s="3" t="s">
        <v>46</v>
      </c>
      <c r="E49" s="3">
        <v>130</v>
      </c>
      <c r="F49" s="4">
        <v>600</v>
      </c>
      <c r="G49" s="4">
        <v>400</v>
      </c>
      <c r="H49" s="7">
        <v>78000</v>
      </c>
      <c r="I49" s="6">
        <f t="shared" si="0"/>
        <v>26000</v>
      </c>
    </row>
    <row r="50" spans="1:9" ht="15" thickBot="1" x14ac:dyDescent="0.35">
      <c r="A50" s="9">
        <v>44238</v>
      </c>
      <c r="B50" s="3" t="s">
        <v>27</v>
      </c>
      <c r="C50" s="3" t="s">
        <v>22</v>
      </c>
      <c r="D50" s="3" t="s">
        <v>17</v>
      </c>
      <c r="E50" s="3">
        <v>60</v>
      </c>
      <c r="F50" s="7">
        <v>3500</v>
      </c>
      <c r="G50" s="7">
        <v>2500</v>
      </c>
      <c r="H50" s="7">
        <v>210000</v>
      </c>
      <c r="I50" s="6">
        <f t="shared" si="0"/>
        <v>60000</v>
      </c>
    </row>
    <row r="51" spans="1:9" ht="15" thickBot="1" x14ac:dyDescent="0.35">
      <c r="A51" s="9">
        <v>44017</v>
      </c>
      <c r="B51" s="3" t="s">
        <v>15</v>
      </c>
      <c r="C51" s="3" t="s">
        <v>16</v>
      </c>
      <c r="D51" s="3" t="s">
        <v>11</v>
      </c>
      <c r="E51" s="3">
        <v>73</v>
      </c>
      <c r="F51" s="7">
        <v>6000</v>
      </c>
      <c r="G51" s="7">
        <v>4000</v>
      </c>
      <c r="H51" s="7">
        <v>438000</v>
      </c>
      <c r="I51" s="6">
        <f t="shared" si="0"/>
        <v>146000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FF40D-6D72-4C33-9B01-762D6620DEDB}">
  <dimension ref="G14:W16"/>
  <sheetViews>
    <sheetView showGridLines="0" showRowColHeaders="0" tabSelected="1" zoomScale="85" zoomScaleNormal="85" workbookViewId="0">
      <selection activeCell="Y21" sqref="Y21"/>
    </sheetView>
  </sheetViews>
  <sheetFormatPr defaultRowHeight="14.4" x14ac:dyDescent="0.3"/>
  <sheetData>
    <row r="14" spans="7:23" x14ac:dyDescent="0.3">
      <c r="W14" t="s">
        <v>120</v>
      </c>
    </row>
    <row r="16" spans="7:23" x14ac:dyDescent="0.3">
      <c r="G16"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pivot_table </vt:lpstr>
      <vt:lpstr>Convert onto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Manikandan s</dc:creator>
  <cp:lastModifiedBy>Manikandan s</cp:lastModifiedBy>
  <dcterms:created xsi:type="dcterms:W3CDTF">2026-02-04T05:30:09Z</dcterms:created>
  <dcterms:modified xsi:type="dcterms:W3CDTF">2026-02-07T12:56:21Z</dcterms:modified>
</cp:coreProperties>
</file>